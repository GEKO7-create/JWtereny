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estawienie" sheetId="1" r:id="rId5"/>
    <sheet state="visible" name="Skrócone zestawienie" sheetId="2" r:id="rId6"/>
    <sheet state="visible" name="Informacje o terenach" sheetId="3" r:id="rId7"/>
    <sheet state="visible" name="Lista głosicieli" sheetId="4" r:id="rId8"/>
  </sheets>
  <definedNames>
    <definedName name="Spóźnione">#REF!</definedName>
  </definedNames>
  <calcPr/>
</workbook>
</file>

<file path=xl/sharedStrings.xml><?xml version="1.0" encoding="utf-8"?>
<sst xmlns="http://schemas.openxmlformats.org/spreadsheetml/2006/main" count="590" uniqueCount="138">
  <si>
    <t>Bloch Agnieszka</t>
  </si>
  <si>
    <t>Rewers</t>
  </si>
  <si>
    <t>Bloch Ryszard</t>
  </si>
  <si>
    <t>Cymer Rachela</t>
  </si>
  <si>
    <t>Długozima Janina</t>
  </si>
  <si>
    <t>Duda Małgorzata</t>
  </si>
  <si>
    <t>Mapka</t>
  </si>
  <si>
    <t>Duda Mariusz</t>
  </si>
  <si>
    <t>Fabczak Oliwia</t>
  </si>
  <si>
    <t>Felbór-Mickiewicz Gabriela</t>
  </si>
  <si>
    <t>Fuchs Irena</t>
  </si>
  <si>
    <t>Gawryluk Ewa</t>
  </si>
  <si>
    <t>Geszczyńska Wanda</t>
  </si>
  <si>
    <t>Geszczyński Tomasz</t>
  </si>
  <si>
    <t>Grabowska Lidia</t>
  </si>
  <si>
    <t>Gutowska Teresa</t>
  </si>
  <si>
    <t>Dodatkowe informacje</t>
  </si>
  <si>
    <t>Horbarczek Krystyna</t>
  </si>
  <si>
    <t>Kamieniecka Agnieszka</t>
  </si>
  <si>
    <t>Kamieniecki Maksymilian</t>
  </si>
  <si>
    <t>Katarzyńska Olga</t>
  </si>
  <si>
    <t>Katarzyński Marek</t>
  </si>
  <si>
    <t>Kazimierczak Justyna</t>
  </si>
  <si>
    <t>Kazimierczak Michał</t>
  </si>
  <si>
    <t>Kępa Ewa</t>
  </si>
  <si>
    <t>Kozdroń Krystyna</t>
  </si>
  <si>
    <t>Kozdroń Stanisław</t>
  </si>
  <si>
    <t>Król Barbara</t>
  </si>
  <si>
    <t>Krzyżanowska Helena</t>
  </si>
  <si>
    <t>Krzyżanowski Władysław</t>
  </si>
  <si>
    <t>Kulesik Krystyna</t>
  </si>
  <si>
    <t>Kwiatkowska Kinga</t>
  </si>
  <si>
    <t>Łukomska Sabina</t>
  </si>
  <si>
    <t>Majewska Barbara</t>
  </si>
  <si>
    <t>Masiewicz Beata</t>
  </si>
  <si>
    <t>Masiewicz Robert</t>
  </si>
  <si>
    <t>Migrała Mirosław</t>
  </si>
  <si>
    <t>Migrała Wioletta</t>
  </si>
  <si>
    <t>Milewska Anna</t>
  </si>
  <si>
    <t>Moroz Małgorzata</t>
  </si>
  <si>
    <t>Mróz Anna</t>
  </si>
  <si>
    <t>Niestępski Hubert</t>
  </si>
  <si>
    <t>Nużczyńska Wiesława</t>
  </si>
  <si>
    <t>Nużczyński Jerzy</t>
  </si>
  <si>
    <t>Olender Aleksandra</t>
  </si>
  <si>
    <t>Olender Hanna</t>
  </si>
  <si>
    <t>Olender Robert</t>
  </si>
  <si>
    <t>Olender Szymon</t>
  </si>
  <si>
    <t>Piechota Andrzej</t>
  </si>
  <si>
    <t>Piechota Ireneusz</t>
  </si>
  <si>
    <t>Pieślak Anna</t>
  </si>
  <si>
    <t>Pieśniewska Krystyna</t>
  </si>
  <si>
    <t>Pieśniewski Kazimierz</t>
  </si>
  <si>
    <t>Podlaska Marta</t>
  </si>
  <si>
    <t>Podlaski Piotr</t>
  </si>
  <si>
    <t>Radzikowska Joanna</t>
  </si>
  <si>
    <t>Radzikowski Kamil</t>
  </si>
  <si>
    <t>Radzka Krystyna</t>
  </si>
  <si>
    <t>Rećko Anna</t>
  </si>
  <si>
    <t>Rećko Ruben</t>
  </si>
  <si>
    <t>Romanyk Janusz</t>
  </si>
  <si>
    <t>Romanyk Joanna</t>
  </si>
  <si>
    <t>Romanyk Filip</t>
  </si>
  <si>
    <t>Rynkowska Elżbieta</t>
  </si>
  <si>
    <t>Słupski Michał</t>
  </si>
  <si>
    <t>Sochaczewski Robert</t>
  </si>
  <si>
    <t>Stachyra Barbara</t>
  </si>
  <si>
    <t>Stachyra Witold</t>
  </si>
  <si>
    <t>Stebnicka Joanna</t>
  </si>
  <si>
    <t>Stolarz Daniel</t>
  </si>
  <si>
    <t>Stolarz Monika</t>
  </si>
  <si>
    <t>Szczepanik Agnieszka</t>
  </si>
  <si>
    <t>Szczepanik Jan</t>
  </si>
  <si>
    <t>Szczepanik Halina</t>
  </si>
  <si>
    <t>Tanasijczuk Lena</t>
  </si>
  <si>
    <t>Tymowicz Jadwiga</t>
  </si>
  <si>
    <t>Tymowicz Witold</t>
  </si>
  <si>
    <t>Uzarska Alicja</t>
  </si>
  <si>
    <t>Uzarski Jakub</t>
  </si>
  <si>
    <t>Wakieć Iwona</t>
  </si>
  <si>
    <t>Wdzięczna Stanisława</t>
  </si>
  <si>
    <t>Wiciel Justyna</t>
  </si>
  <si>
    <t>Wiciel Tomasz</t>
  </si>
  <si>
    <t>Wieczorek Agnieszka</t>
  </si>
  <si>
    <t>Winnicka Małgorzata</t>
  </si>
  <si>
    <t>Winnicki Krzysztof</t>
  </si>
  <si>
    <t>Wojewódzka Natalia</t>
  </si>
  <si>
    <t>Wojewódzki Kamil</t>
  </si>
  <si>
    <t>Wojtal Bernadeta</t>
  </si>
  <si>
    <t>Wojtal Włodzimierz</t>
  </si>
  <si>
    <t>ZESTAWIENIE PRZYDZIAŁÓW TERENÓW    —    Rok służbowy 2025/2026</t>
  </si>
  <si>
    <t>Teren nr</t>
  </si>
  <si>
    <t>Data ostatniego opracowania</t>
  </si>
  <si>
    <t>Przydzielono</t>
  </si>
  <si>
    <t>Data przydziału</t>
  </si>
  <si>
    <t>Data opracowania</t>
  </si>
  <si>
    <t>Krzysztofowicz Anna</t>
  </si>
  <si>
    <t>Kwiatkowska Kamila</t>
  </si>
  <si>
    <t>Mateusz Krzysztofowicz</t>
  </si>
  <si>
    <t>Kalwara Wojciech</t>
  </si>
  <si>
    <t>Berezecki Paweł</t>
  </si>
  <si>
    <t>W1</t>
  </si>
  <si>
    <t>W2</t>
  </si>
  <si>
    <t>W3</t>
  </si>
  <si>
    <t>W4</t>
  </si>
  <si>
    <t>W5</t>
  </si>
  <si>
    <t>W6</t>
  </si>
  <si>
    <t>W7</t>
  </si>
  <si>
    <t>W8</t>
  </si>
  <si>
    <t>W9</t>
  </si>
  <si>
    <t>W10</t>
  </si>
  <si>
    <t>W11</t>
  </si>
  <si>
    <t>W12</t>
  </si>
  <si>
    <t>W13</t>
  </si>
  <si>
    <t>W14</t>
  </si>
  <si>
    <t>W15</t>
  </si>
  <si>
    <t>W16</t>
  </si>
  <si>
    <t>W17</t>
  </si>
  <si>
    <t>W18</t>
  </si>
  <si>
    <t>W19</t>
  </si>
  <si>
    <t>W20</t>
  </si>
  <si>
    <t>B1</t>
  </si>
  <si>
    <t>B2</t>
  </si>
  <si>
    <t>B3</t>
  </si>
  <si>
    <t>B4</t>
  </si>
  <si>
    <t>B5</t>
  </si>
  <si>
    <t>B6</t>
  </si>
  <si>
    <t>B7</t>
  </si>
  <si>
    <t>B8</t>
  </si>
  <si>
    <t>B9</t>
  </si>
  <si>
    <t>B10</t>
  </si>
  <si>
    <t>B11</t>
  </si>
  <si>
    <t>B12</t>
  </si>
  <si>
    <t>B13</t>
  </si>
  <si>
    <t>Głosiciel</t>
  </si>
  <si>
    <t>Wolny / Zajęty</t>
  </si>
  <si>
    <t>Od ilu dni</t>
  </si>
  <si>
    <t>Ile terenów przydzielonych ma głosiciel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</si>
</sst>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numFmt numFmtId="166" formatCode="dd-mm-yyyy"/>
    <numFmt numFmtId="167" formatCode="dd.mm.yyyy"/>
  </numFmts>
  <fonts count="13">
    <font>
      <sz val="10.0"/>
      <color rgb="FF000000"/>
      <name val="Arial"/>
      <scheme val="minor"/>
    </font>
    <font>
      <sz val="16.0"/>
      <color theme="1"/>
      <name val="Comfortaa"/>
    </font>
    <font>
      <b/>
      <sz val="18.0"/>
      <color theme="1"/>
      <name val="Comfortaa"/>
    </font>
    <font>
      <color theme="1"/>
      <name val="Arial"/>
      <scheme val="minor"/>
    </font>
    <font>
      <color theme="1"/>
      <name val="Comfortaa"/>
    </font>
    <font/>
    <font>
      <b/>
      <sz val="14.0"/>
      <color theme="1"/>
      <name val="Comfortaa"/>
    </font>
    <font>
      <sz val="14.0"/>
      <color theme="1"/>
      <name val="Comfortaa"/>
    </font>
    <font>
      <sz val="14.0"/>
      <color theme="1"/>
      <name val="Lexend"/>
    </font>
    <font>
      <color theme="1"/>
      <name val="Lexend"/>
    </font>
    <font>
      <color theme="1"/>
      <name val="Arial"/>
    </font>
    <font>
      <sz val="14.0"/>
      <color rgb="FF000000"/>
      <name val="Lexend"/>
    </font>
    <font>
      <sz val="14.0"/>
      <color rgb="FFEFEFEF"/>
      <name val="Comfortaa"/>
    </font>
  </fonts>
  <fills count="7">
    <fill>
      <patternFill patternType="none"/>
    </fill>
    <fill>
      <patternFill patternType="lightGray"/>
    </fill>
    <fill>
      <patternFill patternType="solid">
        <fgColor rgb="FFEFEFEF"/>
        <bgColor rgb="FFEFEFEF"/>
      </patternFill>
    </fill>
    <fill>
      <patternFill patternType="solid">
        <fgColor rgb="FFB7B7B7"/>
        <bgColor rgb="FFB7B7B7"/>
      </patternFill>
    </fill>
    <fill>
      <patternFill patternType="solid">
        <fgColor rgb="FFCCCCCC"/>
        <bgColor rgb="FFCCCCCC"/>
      </patternFill>
    </fill>
    <fill>
      <patternFill patternType="solid">
        <fgColor rgb="FFD9D9D9"/>
        <bgColor rgb="FFD9D9D9"/>
      </patternFill>
    </fill>
    <fill>
      <patternFill patternType="solid">
        <fgColor rgb="FFF3F3F3"/>
        <bgColor rgb="FFF3F3F3"/>
      </patternFill>
    </fill>
  </fills>
  <borders count="34">
    <border/>
    <border>
      <right style="medium">
        <color rgb="FF999999"/>
      </right>
      <bottom style="medium">
        <color rgb="FF999999"/>
      </bottom>
    </border>
    <border>
      <left style="medium">
        <color rgb="FF999999"/>
      </left>
      <right style="medium">
        <color rgb="FF999999"/>
      </right>
      <bottom style="medium">
        <color rgb="FF999999"/>
      </bottom>
    </border>
    <border>
      <left style="medium">
        <color rgb="FF999999"/>
      </left>
      <bottom style="medium">
        <color rgb="FF999999"/>
      </bottom>
    </border>
    <border>
      <right style="medium">
        <color rgb="FF999999"/>
      </right>
      <top style="medium">
        <color rgb="FF999999"/>
      </top>
      <bottom style="medium">
        <color rgb="FF999999"/>
      </bottom>
    </border>
    <border>
      <left style="medium">
        <color rgb="FF999999"/>
      </left>
      <right style="medium">
        <color rgb="FF999999"/>
      </right>
      <top style="medium">
        <color rgb="FF999999"/>
      </top>
      <bottom style="medium">
        <color rgb="FF999999"/>
      </bottom>
    </border>
    <border>
      <left style="medium">
        <color rgb="FF999999"/>
      </left>
      <top style="medium">
        <color rgb="FF999999"/>
      </top>
      <bottom style="medium">
        <color rgb="FF999999"/>
      </bottom>
    </border>
    <border>
      <right style="medium">
        <color rgb="FF999999"/>
      </right>
      <top style="medium">
        <color rgb="FF999999"/>
      </top>
      <bottom style="medium">
        <color rgb="FF000000"/>
      </bottom>
    </border>
    <border>
      <left style="medium">
        <color rgb="FF999999"/>
      </left>
      <right style="medium">
        <color rgb="FF999999"/>
      </right>
      <top style="medium">
        <color rgb="FF999999"/>
      </top>
      <bottom style="medium">
        <color rgb="FF000000"/>
      </bottom>
    </border>
    <border>
      <left style="medium">
        <color rgb="FF999999"/>
      </left>
      <top style="medium">
        <color rgb="FF999999"/>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rder>
    <border>
      <right style="medium">
        <color rgb="FF000000"/>
      </right>
    </border>
    <border>
      <top style="medium">
        <color rgb="FF666666"/>
      </top>
      <bottom style="thin">
        <color rgb="FF000000"/>
      </bottom>
    </border>
    <border>
      <right style="medium">
        <color rgb="FF666666"/>
      </right>
      <top style="medium">
        <color rgb="FF666666"/>
      </top>
      <bottom style="thin">
        <color rgb="FF000000"/>
      </bottom>
    </border>
    <border>
      <left style="medium">
        <color rgb="FF000000"/>
      </left>
      <bottom style="medium">
        <color rgb="FF666666"/>
      </bottom>
    </border>
    <border>
      <right style="medium">
        <color rgb="FF000000"/>
      </right>
      <bottom style="medium">
        <color rgb="FF666666"/>
      </bottom>
    </border>
    <border>
      <right style="thin">
        <color rgb="FF000000"/>
      </right>
      <top style="thin">
        <color rgb="FF000000"/>
      </top>
      <bottom style="medium">
        <color rgb="FF666666"/>
      </bottom>
    </border>
    <border>
      <left style="thin">
        <color rgb="FF000000"/>
      </left>
      <right style="medium">
        <color rgb="FF666666"/>
      </right>
      <top style="thin">
        <color rgb="FF000000"/>
      </top>
      <bottom style="medium">
        <color rgb="FF666666"/>
      </bottom>
    </border>
    <border>
      <left style="medium">
        <color rgb="FF000000"/>
      </left>
      <right style="medium">
        <color rgb="FF000000"/>
      </right>
      <top style="medium">
        <color rgb="FF000000"/>
      </top>
      <bottom style="medium">
        <color rgb="FF000000"/>
      </bottom>
    </border>
    <border>
      <right style="thin">
        <color rgb="FF000000"/>
      </right>
      <top style="thin">
        <color rgb="FF000000"/>
      </top>
    </border>
    <border>
      <left style="thin">
        <color rgb="FF000000"/>
      </left>
      <right style="medium">
        <color rgb="FF666666"/>
      </right>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center" readingOrder="0" vertical="center"/>
    </xf>
    <xf borderId="0" fillId="2" fontId="1" numFmtId="0" xfId="0" applyAlignment="1" applyFill="1" applyFont="1">
      <alignment readingOrder="0"/>
    </xf>
    <xf borderId="2" fillId="3" fontId="2" numFmtId="0" xfId="0" applyAlignment="1" applyBorder="1" applyFill="1" applyFont="1">
      <alignment horizontal="center" readingOrder="0" vertical="center"/>
    </xf>
    <xf borderId="3" fillId="3" fontId="2" numFmtId="0" xfId="0" applyAlignment="1" applyBorder="1" applyFill="1" applyFont="1">
      <alignment horizontal="center" readingOrder="0" vertical="center"/>
    </xf>
    <xf borderId="0" fillId="2" fontId="1" numFmtId="0" xfId="0" applyAlignment="1" applyFill="1" applyFont="1">
      <alignment readingOrder="0" vertical="bottom"/>
    </xf>
    <xf borderId="4" fillId="4" fontId="3" numFmtId="0" xfId="0" applyBorder="1" applyFill="1" applyFont="1"/>
    <xf borderId="5" fillId="5" fontId="3" numFmtId="0" xfId="0" applyBorder="1" applyFill="1" applyFont="1"/>
    <xf borderId="6" fillId="2" fontId="3" numFmtId="0" xfId="0" applyBorder="1" applyFill="1" applyFont="1"/>
    <xf borderId="0" fillId="2" fontId="1" numFmtId="0" xfId="0" applyAlignment="1" applyFill="1" applyFont="1">
      <alignment vertical="bottom"/>
    </xf>
    <xf borderId="0" fillId="0" fontId="4" numFmtId="0" xfId="0" applyAlignment="1" applyFont="1">
      <alignment readingOrder="0"/>
    </xf>
    <xf borderId="7" fillId="4" fontId="3" numFmtId="0" xfId="0" applyBorder="1" applyFill="1" applyFont="1"/>
    <xf borderId="8" fillId="5" fontId="3" numFmtId="0" xfId="0" applyBorder="1" applyFill="1" applyFont="1"/>
    <xf borderId="9" fillId="2" fontId="3" numFmtId="0" xfId="0" applyBorder="1" applyFill="1" applyFont="1"/>
    <xf borderId="10" fillId="3" fontId="2" numFmtId="0" xfId="0" applyAlignment="1" applyBorder="1" applyFill="1" applyFont="1">
      <alignment readingOrder="0" shrinkToFit="0" vertical="center" wrapText="1"/>
    </xf>
    <xf borderId="11" fillId="0" fontId="5" numFmtId="0" xfId="0" applyBorder="1" applyFont="1"/>
    <xf borderId="12" fillId="0" fontId="5" numFmtId="0" xfId="0" applyBorder="1" applyFont="1"/>
    <xf borderId="13" fillId="4" fontId="6" numFmtId="0" xfId="0" applyAlignment="1" applyBorder="1" applyFill="1" applyFont="1">
      <alignment readingOrder="0" shrinkToFit="0" vertical="center" wrapText="1"/>
    </xf>
    <xf borderId="14" fillId="4" fontId="6" numFmtId="0" xfId="0" applyAlignment="1" applyBorder="1" applyFill="1" applyFont="1">
      <alignment readingOrder="0" shrinkToFit="0" vertical="center" wrapText="1"/>
    </xf>
    <xf borderId="15" fillId="4" fontId="6" numFmtId="0" xfId="0" applyAlignment="1" applyBorder="1" applyFill="1" applyFont="1">
      <alignment horizontal="center" readingOrder="0" shrinkToFit="0" vertical="center" wrapText="1"/>
    </xf>
    <xf borderId="16" fillId="0" fontId="5" numFmtId="0" xfId="0" applyBorder="1" applyFont="1"/>
    <xf borderId="17" fillId="0" fontId="5" numFmtId="0" xfId="0" applyBorder="1" applyFont="1"/>
    <xf borderId="18" fillId="0" fontId="5" numFmtId="0" xfId="0" applyBorder="1" applyFont="1"/>
    <xf borderId="19" fillId="4" fontId="6" numFmtId="0" xfId="0" applyAlignment="1" applyBorder="1" applyFill="1" applyFont="1">
      <alignment horizontal="center" readingOrder="0" shrinkToFit="0" vertical="center" wrapText="1"/>
    </xf>
    <xf borderId="20" fillId="4" fontId="6" numFmtId="0" xfId="0" applyAlignment="1" applyBorder="1" applyFill="1" applyFont="1">
      <alignment horizontal="center" readingOrder="0" shrinkToFit="0" vertical="center" wrapText="1"/>
    </xf>
    <xf borderId="21" fillId="4" fontId="6" numFmtId="0" xfId="0" applyAlignment="1" applyBorder="1" applyFill="1" applyFont="1">
      <alignment horizontal="center" readingOrder="0" shrinkToFit="0" vertical="center" wrapText="1"/>
    </xf>
    <xf borderId="22" fillId="4" fontId="6" numFmtId="0" xfId="0" applyAlignment="1" applyBorder="1" applyFill="1" applyFont="1">
      <alignment horizontal="center" readingOrder="0" shrinkToFit="0" vertical="center" wrapText="1"/>
    </xf>
    <xf borderId="23" fillId="2" fontId="6" numFmtId="0" xfId="0" applyAlignment="1" applyBorder="1" applyFill="1" applyFont="1">
      <alignment horizontal="right" readingOrder="0" shrinkToFit="0" vertical="center" wrapText="1"/>
    </xf>
    <xf borderId="24" fillId="2" fontId="7" numFmtId="164" xfId="0" applyAlignment="1" applyBorder="1" applyFill="1" applyFont="1" applyNumberFormat="1">
      <alignment readingOrder="0" shrinkToFit="0" vertical="center" wrapText="1"/>
    </xf>
    <xf borderId="25" fillId="2" fontId="8" numFmtId="0" xfId="0" applyAlignment="1" applyBorder="1" applyFill="1" applyFont="1">
      <alignment readingOrder="0" vertical="bottom"/>
    </xf>
    <xf borderId="26" fillId="0" fontId="5" numFmtId="0" xfId="0" applyBorder="1" applyFont="1"/>
    <xf borderId="27" fillId="0" fontId="5" numFmtId="0" xfId="0" applyBorder="1" applyFont="1"/>
    <xf borderId="28" fillId="0" fontId="5" numFmtId="0" xfId="0" applyBorder="1" applyFont="1"/>
    <xf borderId="29" fillId="0" fontId="8" numFmtId="165" xfId="0" applyAlignment="1" applyBorder="1" applyFont="1" applyNumberFormat="1">
      <alignment readingOrder="0" vertical="bottom"/>
    </xf>
    <xf borderId="30" fillId="0" fontId="8" numFmtId="164" xfId="0" applyAlignment="1" applyBorder="1" applyFont="1" applyNumberFormat="1">
      <alignment readingOrder="0" vertical="bottom"/>
    </xf>
    <xf borderId="25" fillId="2" fontId="8" numFmtId="0" xfId="0" applyAlignment="1" applyBorder="1" applyFill="1" applyFont="1">
      <alignment vertical="bottom"/>
    </xf>
    <xf borderId="29" fillId="0" fontId="8" numFmtId="165" xfId="0" applyAlignment="1" applyBorder="1" applyFont="1" applyNumberFormat="1">
      <alignment horizontal="right" readingOrder="0" vertical="bottom"/>
    </xf>
    <xf borderId="30" fillId="0" fontId="8" numFmtId="164" xfId="0" applyAlignment="1" applyBorder="1" applyFont="1" applyNumberFormat="1">
      <alignment horizontal="right" readingOrder="0" vertical="bottom"/>
    </xf>
    <xf borderId="29" fillId="0" fontId="9" numFmtId="165" xfId="0" applyAlignment="1" applyBorder="1" applyFont="1" applyNumberFormat="1">
      <alignment vertical="bottom"/>
    </xf>
    <xf borderId="30" fillId="0" fontId="9" numFmtId="164" xfId="0" applyAlignment="1" applyBorder="1" applyFont="1" applyNumberFormat="1">
      <alignment vertical="bottom"/>
    </xf>
    <xf borderId="29" fillId="0" fontId="8" numFmtId="165" xfId="0" applyAlignment="1" applyBorder="1" applyFont="1" applyNumberFormat="1">
      <alignment horizontal="right" vertical="bottom"/>
    </xf>
    <xf borderId="30" fillId="0" fontId="8" numFmtId="164" xfId="0" applyAlignment="1" applyBorder="1" applyFont="1" applyNumberFormat="1">
      <alignment horizontal="right" vertical="bottom"/>
    </xf>
    <xf borderId="30" fillId="0" fontId="10" numFmtId="164" xfId="0" applyAlignment="1" applyBorder="1" applyFont="1" applyNumberFormat="1">
      <alignment vertical="bottom"/>
    </xf>
    <xf borderId="25" fillId="2" fontId="10" numFmtId="0" xfId="0" applyAlignment="1" applyBorder="1" applyFill="1" applyFont="1">
      <alignment vertical="bottom"/>
    </xf>
    <xf borderId="29" fillId="0" fontId="10" numFmtId="165" xfId="0" applyAlignment="1" applyBorder="1" applyFont="1" applyNumberFormat="1">
      <alignment vertical="bottom"/>
    </xf>
    <xf borderId="29" fillId="0" fontId="8" numFmtId="166" xfId="0" applyAlignment="1" applyBorder="1" applyFont="1" applyNumberFormat="1">
      <alignment readingOrder="0" vertical="bottom"/>
    </xf>
    <xf borderId="31" fillId="6" fontId="11" numFmtId="164" xfId="0" applyAlignment="1" applyBorder="1" applyFill="1" applyFont="1" applyNumberFormat="1">
      <alignment horizontal="right" readingOrder="0" shrinkToFit="0" vertical="center" wrapText="1"/>
    </xf>
    <xf borderId="29" fillId="0" fontId="8" numFmtId="167" xfId="0" applyAlignment="1" applyBorder="1" applyFont="1" applyNumberFormat="1">
      <alignment readingOrder="0" vertical="bottom"/>
    </xf>
    <xf borderId="23" fillId="0" fontId="5" numFmtId="0" xfId="0" applyBorder="1" applyFont="1"/>
    <xf borderId="24" fillId="0" fontId="5" numFmtId="0" xfId="0" applyBorder="1" applyFont="1"/>
    <xf borderId="32" fillId="0" fontId="8" numFmtId="165" xfId="0" applyAlignment="1" applyBorder="1" applyFont="1" applyNumberFormat="1">
      <alignment readingOrder="0" vertical="bottom"/>
    </xf>
    <xf borderId="33" fillId="0" fontId="8" numFmtId="164" xfId="0" applyAlignment="1" applyBorder="1" applyFont="1" applyNumberFormat="1">
      <alignment readingOrder="0" vertical="bottom"/>
    </xf>
    <xf borderId="10" fillId="2" fontId="6" numFmtId="0" xfId="0" applyAlignment="1" applyBorder="1" applyFill="1" applyFont="1">
      <alignment horizontal="right" readingOrder="0" shrinkToFit="0" vertical="center" wrapText="1"/>
    </xf>
    <xf borderId="12" fillId="2" fontId="7" numFmtId="164" xfId="0" applyAlignment="1" applyBorder="1" applyFill="1" applyFont="1" applyNumberFormat="1">
      <alignment readingOrder="0" shrinkToFit="0" vertical="center" wrapText="1"/>
    </xf>
    <xf borderId="0" fillId="4" fontId="6" numFmtId="0" xfId="0" applyAlignment="1" applyFill="1" applyFont="1">
      <alignment readingOrder="0" shrinkToFit="0" wrapText="1"/>
    </xf>
    <xf borderId="0" fillId="4" fontId="7" numFmtId="0" xfId="0" applyAlignment="1" applyFill="1" applyFont="1">
      <alignment readingOrder="0" shrinkToFit="0" wrapText="1"/>
    </xf>
    <xf borderId="0" fillId="5" fontId="6" numFmtId="0" xfId="0" applyAlignment="1" applyFill="1" applyFont="1">
      <alignment horizontal="right" readingOrder="0" shrinkToFit="0" wrapText="1"/>
    </xf>
    <xf borderId="0" fillId="5" fontId="7" numFmtId="0" xfId="0" applyAlignment="1" applyFill="1" applyFont="1">
      <alignment readingOrder="0" shrinkToFit="0" wrapText="1"/>
    </xf>
    <xf borderId="0" fillId="0" fontId="7" numFmtId="0" xfId="0" applyAlignment="1" applyFont="1">
      <alignment horizontal="right" shrinkToFit="0" wrapText="1"/>
    </xf>
    <xf borderId="0" fillId="2" fontId="6" numFmtId="0" xfId="0" applyAlignment="1" applyFill="1" applyFont="1">
      <alignment shrinkToFit="0" wrapText="1"/>
    </xf>
    <xf borderId="0" fillId="5" fontId="12" numFmtId="0" xfId="0" applyAlignment="1" applyFill="1" applyFont="1">
      <alignment shrinkToFit="0" wrapText="1"/>
    </xf>
    <xf borderId="0" fillId="5" fontId="7" numFmtId="0" xfId="0" applyAlignment="1" applyFill="1" applyFont="1">
      <alignment shrinkToFit="0" wrapText="1"/>
    </xf>
  </cellXfs>
  <cellStyles count="1">
    <cellStyle xfId="0" name="Normal" builtinId="0"/>
  </cellStyles>
  <dxfs count="3">
    <dxf>
      <font/>
      <fill>
        <patternFill patternType="solid">
          <fgColor rgb="FF93C47D"/>
          <bgColor rgb="FF93C47D"/>
        </patternFill>
      </fill>
      <border/>
    </dxf>
    <dxf>
      <font/>
      <fill>
        <patternFill patternType="solid">
          <fgColor rgb="FFF1C232"/>
          <bgColor rgb="FFF1C232"/>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295275</xdr:colOff>
      <xdr:row>1</xdr:row>
      <xdr:rowOff>0</xdr:rowOff>
    </xdr:from>
    <xdr:ext cx="10058400" cy="12963525"/>
    <xdr:pic>
      <xdr:nvPicPr>
        <xdr:cNvPr id="1715219560" name="Chart1" title="Wykres">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5.13"/>
    <col customWidth="1" min="4" max="4" width="25.38"/>
    <col customWidth="1" min="5" max="5" width="25.25"/>
    <col customWidth="1" min="6" max="6" width="25.38"/>
    <col customWidth="1" min="7" max="7" width="25.63"/>
    <col customWidth="1" min="8" max="8" width="25.5"/>
    <col customWidth="1" min="9" max="9" width="25.63"/>
    <col customWidth="1" min="10" max="12" width="25.38"/>
  </cols>
  <sheetData>
    <row r="1" ht="36.0" customHeight="1">
      <c r="A1" s="15" t="s">
        <v>90</v>
      </c>
      <c r="B1" s="16"/>
      <c r="C1" s="16"/>
      <c r="D1" s="16"/>
      <c r="E1" s="16"/>
      <c r="F1" s="16"/>
      <c r="G1" s="16"/>
      <c r="H1" s="16"/>
      <c r="I1" s="16"/>
      <c r="J1" s="16"/>
      <c r="K1" s="16"/>
      <c r="L1" s="17"/>
    </row>
    <row r="2">
      <c r="A2" s="18" t="s">
        <v>91</v>
      </c>
      <c r="B2" s="19" t="s">
        <v>92</v>
      </c>
      <c r="C2" s="20" t="s">
        <v>93</v>
      </c>
      <c r="D2" s="21"/>
      <c r="E2" s="20" t="s">
        <v>93</v>
      </c>
      <c r="F2" s="21"/>
      <c r="G2" s="20" t="s">
        <v>93</v>
      </c>
      <c r="H2" s="21"/>
      <c r="I2" s="20" t="s">
        <v>93</v>
      </c>
      <c r="J2" s="21"/>
      <c r="K2" s="20" t="s">
        <v>93</v>
      </c>
      <c r="L2" s="21"/>
    </row>
    <row r="3">
      <c r="A3" s="22"/>
      <c r="B3" s="23"/>
      <c r="C3" s="24" t="s">
        <v>94</v>
      </c>
      <c r="D3" s="25" t="s">
        <v>95</v>
      </c>
      <c r="E3" s="26" t="s">
        <v>94</v>
      </c>
      <c r="F3" s="27" t="s">
        <v>95</v>
      </c>
      <c r="G3" s="26" t="s">
        <v>94</v>
      </c>
      <c r="H3" s="27" t="s">
        <v>95</v>
      </c>
      <c r="I3" s="26" t="s">
        <v>94</v>
      </c>
      <c r="J3" s="27" t="s">
        <v>95</v>
      </c>
      <c r="K3" s="26" t="s">
        <v>94</v>
      </c>
      <c r="L3" s="27" t="s">
        <v>95</v>
      </c>
    </row>
    <row r="4">
      <c r="A4" s="28">
        <v>1.0</v>
      </c>
      <c r="B4" s="29">
        <f>IFERROR(__xludf.DUMMYFUNCTION("IF(ISBLANK(D5),"""",MAX(FILTER({D5;F5;H5;J5;L5}, ISNUMBER({D5;F5;H5;J5;L5}))))"),46186.0)</f>
        <v>46186</v>
      </c>
      <c r="C4" s="30" t="s">
        <v>69</v>
      </c>
      <c r="D4" s="31"/>
      <c r="E4" s="30" t="s">
        <v>85</v>
      </c>
      <c r="F4" s="31"/>
      <c r="G4" s="30" t="s">
        <v>85</v>
      </c>
      <c r="H4" s="31"/>
      <c r="I4" s="30"/>
      <c r="J4" s="31"/>
      <c r="K4" s="30"/>
      <c r="L4" s="31"/>
    </row>
    <row r="5">
      <c r="A5" s="32"/>
      <c r="B5" s="33"/>
      <c r="C5" s="34">
        <v>45710.0</v>
      </c>
      <c r="D5" s="35">
        <v>45772.0</v>
      </c>
      <c r="E5" s="34">
        <v>45986.0</v>
      </c>
      <c r="F5" s="35">
        <v>45991.0</v>
      </c>
      <c r="G5" s="34">
        <v>46162.0</v>
      </c>
      <c r="H5" s="35">
        <v>46186.0</v>
      </c>
      <c r="I5" s="34"/>
      <c r="J5" s="35"/>
      <c r="K5" s="34"/>
      <c r="L5" s="35"/>
    </row>
    <row r="6">
      <c r="A6" s="28">
        <v>2.0</v>
      </c>
      <c r="B6" s="29">
        <f>IFERROR(__xludf.DUMMYFUNCTION("IF(ISBLANK(D7),"""",MAX(FILTER({D7;F7;H7;J7;L7}, ISNUMBER({D7;F7;H7;J7;L7}))))"),46130.0)</f>
        <v>46130</v>
      </c>
      <c r="C6" s="30" t="s">
        <v>44</v>
      </c>
      <c r="D6" s="31"/>
      <c r="E6" s="30" t="s">
        <v>85</v>
      </c>
      <c r="F6" s="31"/>
      <c r="G6" s="30"/>
      <c r="H6" s="31"/>
      <c r="I6" s="30"/>
      <c r="J6" s="31"/>
      <c r="K6" s="30"/>
      <c r="L6" s="31"/>
    </row>
    <row r="7">
      <c r="A7" s="32"/>
      <c r="B7" s="33"/>
      <c r="C7" s="34">
        <v>45851.0</v>
      </c>
      <c r="D7" s="35">
        <v>45963.0</v>
      </c>
      <c r="E7" s="34">
        <v>46091.0</v>
      </c>
      <c r="F7" s="35">
        <v>46130.0</v>
      </c>
      <c r="G7" s="34"/>
      <c r="H7" s="35"/>
      <c r="I7" s="34"/>
      <c r="J7" s="35"/>
      <c r="K7" s="34"/>
      <c r="L7" s="35"/>
    </row>
    <row r="8">
      <c r="A8" s="28">
        <v>3.0</v>
      </c>
      <c r="B8" s="29">
        <f>IFERROR(__xludf.DUMMYFUNCTION("IF(ISBLANK(D9),"""",MAX(FILTER({D9;F9;H9;J9;L9}, ISNUMBER({D9;F9;H9;J9;L9}))))"),46082.0)</f>
        <v>46082</v>
      </c>
      <c r="C8" s="30" t="s">
        <v>69</v>
      </c>
      <c r="D8" s="31"/>
      <c r="E8" s="30" t="s">
        <v>44</v>
      </c>
      <c r="F8" s="31"/>
      <c r="G8" s="30"/>
      <c r="H8" s="31"/>
      <c r="I8" s="30"/>
      <c r="J8" s="31"/>
      <c r="K8" s="30"/>
      <c r="L8" s="31"/>
    </row>
    <row r="9">
      <c r="A9" s="32"/>
      <c r="B9" s="33"/>
      <c r="C9" s="34">
        <v>45745.0</v>
      </c>
      <c r="D9" s="35">
        <v>45752.0</v>
      </c>
      <c r="E9" s="34">
        <v>45995.0</v>
      </c>
      <c r="F9" s="35">
        <v>46082.0</v>
      </c>
      <c r="G9" s="34"/>
      <c r="H9" s="35"/>
      <c r="I9" s="34"/>
      <c r="J9" s="35"/>
      <c r="K9" s="34"/>
      <c r="L9" s="35"/>
    </row>
    <row r="10">
      <c r="A10" s="28">
        <v>4.0</v>
      </c>
      <c r="B10" s="29">
        <f>IFERROR(__xludf.DUMMYFUNCTION("IF(ISBLANK(D11),"""",MAX(FILTER({D11;F11;H11;J11;L11}, ISNUMBER({D11;F11;H11;J11;L11}))))"),46221.0)</f>
        <v>46221</v>
      </c>
      <c r="C10" s="30" t="s">
        <v>87</v>
      </c>
      <c r="D10" s="31"/>
      <c r="E10" s="30" t="s">
        <v>31</v>
      </c>
      <c r="F10" s="31"/>
      <c r="G10" s="36"/>
      <c r="H10" s="31"/>
      <c r="I10" s="36"/>
      <c r="J10" s="31"/>
      <c r="K10" s="30"/>
      <c r="L10" s="31"/>
    </row>
    <row r="11">
      <c r="A11" s="32"/>
      <c r="B11" s="33"/>
      <c r="C11" s="37">
        <v>45897.0</v>
      </c>
      <c r="D11" s="38">
        <v>45978.0</v>
      </c>
      <c r="E11" s="37">
        <v>46108.0</v>
      </c>
      <c r="F11" s="37">
        <v>46221.0</v>
      </c>
      <c r="G11" s="39"/>
      <c r="H11" s="40"/>
      <c r="I11" s="39"/>
      <c r="J11" s="40"/>
      <c r="K11" s="34"/>
      <c r="L11" s="35"/>
    </row>
    <row r="12">
      <c r="A12" s="28">
        <v>5.0</v>
      </c>
      <c r="B12" s="29">
        <f>IFERROR(__xludf.DUMMYFUNCTION("IF(ISBLANK(D13),"""",MAX(FILTER({D13;F13;H13;J13;L13}, ISNUMBER({D13;F13;H13;J13;L13}))))"),46081.0)</f>
        <v>46081</v>
      </c>
      <c r="C12" s="30" t="s">
        <v>38</v>
      </c>
      <c r="D12" s="31"/>
      <c r="E12" s="30" t="s">
        <v>85</v>
      </c>
      <c r="F12" s="31"/>
      <c r="G12" s="30"/>
      <c r="H12" s="31"/>
      <c r="I12" s="36"/>
      <c r="J12" s="31"/>
      <c r="K12" s="30"/>
      <c r="L12" s="31"/>
    </row>
    <row r="13">
      <c r="A13" s="32"/>
      <c r="B13" s="33"/>
      <c r="C13" s="37">
        <v>45888.0</v>
      </c>
      <c r="D13" s="38">
        <v>45929.0</v>
      </c>
      <c r="E13" s="37">
        <v>46037.0</v>
      </c>
      <c r="F13" s="37">
        <v>46081.0</v>
      </c>
      <c r="G13" s="37"/>
      <c r="H13" s="38"/>
      <c r="I13" s="41"/>
      <c r="J13" s="41"/>
      <c r="K13" s="34"/>
      <c r="L13" s="35"/>
    </row>
    <row r="14">
      <c r="A14" s="28">
        <v>6.0</v>
      </c>
      <c r="B14" s="29">
        <f>IFERROR(__xludf.DUMMYFUNCTION("IF(ISBLANK(D15),"""",MAX(FILTER({D15;F15;H15;J15;L15}, ISNUMBER({D15;F15;H15;J15;L15}))))"),45991.0)</f>
        <v>45991</v>
      </c>
      <c r="C14" s="30" t="s">
        <v>52</v>
      </c>
      <c r="D14" s="31"/>
      <c r="E14" s="30" t="s">
        <v>85</v>
      </c>
      <c r="F14" s="31"/>
      <c r="G14" s="36"/>
      <c r="H14" s="31"/>
      <c r="I14" s="36"/>
      <c r="J14" s="31"/>
      <c r="K14" s="30"/>
      <c r="L14" s="31"/>
    </row>
    <row r="15">
      <c r="A15" s="32"/>
      <c r="B15" s="33"/>
      <c r="C15" s="37">
        <v>40933.0</v>
      </c>
      <c r="D15" s="38">
        <v>45755.0</v>
      </c>
      <c r="E15" s="37">
        <v>45981.0</v>
      </c>
      <c r="F15" s="37">
        <v>45991.0</v>
      </c>
      <c r="G15" s="41"/>
      <c r="H15" s="42"/>
      <c r="I15" s="41"/>
      <c r="J15" s="43"/>
      <c r="K15" s="34"/>
      <c r="L15" s="35"/>
    </row>
    <row r="16">
      <c r="A16" s="28">
        <v>7.0</v>
      </c>
      <c r="B16" s="29">
        <f>IFERROR(__xludf.DUMMYFUNCTION("IF(ISBLANK(D17),"""",MAX(FILTER({D17;F17;H17;J17;L17}, ISNUMBER({D17;F17;H17;J17;L17}))))"),46121.0)</f>
        <v>46121</v>
      </c>
      <c r="C16" s="30" t="s">
        <v>13</v>
      </c>
      <c r="D16" s="31"/>
      <c r="E16" s="30" t="s">
        <v>85</v>
      </c>
      <c r="F16" s="31"/>
      <c r="G16" s="44"/>
      <c r="H16" s="31"/>
      <c r="I16" s="44"/>
      <c r="J16" s="31"/>
      <c r="K16" s="30"/>
      <c r="L16" s="31"/>
    </row>
    <row r="17">
      <c r="A17" s="32"/>
      <c r="B17" s="33"/>
      <c r="C17" s="37">
        <v>45888.0</v>
      </c>
      <c r="D17" s="38">
        <v>45930.0</v>
      </c>
      <c r="E17" s="37">
        <v>46106.0</v>
      </c>
      <c r="F17" s="37">
        <v>46121.0</v>
      </c>
      <c r="G17" s="45"/>
      <c r="H17" s="43"/>
      <c r="I17" s="45"/>
      <c r="J17" s="43"/>
      <c r="K17" s="34"/>
      <c r="L17" s="35"/>
    </row>
    <row r="18">
      <c r="A18" s="28">
        <v>8.0</v>
      </c>
      <c r="B18" s="29">
        <f>IFERROR(__xludf.DUMMYFUNCTION("IF(ISBLANK(D19),"""",MAX(FILTER({D19;F19;H19;J19;L19}, ISNUMBER({D19;F19;H19;J19;L19}))))"),46024.0)</f>
        <v>46024</v>
      </c>
      <c r="C18" s="30" t="s">
        <v>38</v>
      </c>
      <c r="D18" s="31"/>
      <c r="E18" s="30" t="s">
        <v>85</v>
      </c>
      <c r="F18" s="31"/>
      <c r="G18" s="30"/>
      <c r="H18" s="31"/>
      <c r="I18" s="30"/>
      <c r="J18" s="31"/>
      <c r="K18" s="30"/>
      <c r="L18" s="31"/>
    </row>
    <row r="19">
      <c r="A19" s="32"/>
      <c r="B19" s="33"/>
      <c r="C19" s="34">
        <v>45669.0</v>
      </c>
      <c r="D19" s="35">
        <v>45755.0</v>
      </c>
      <c r="E19" s="34">
        <v>46011.0</v>
      </c>
      <c r="F19" s="34">
        <v>46024.0</v>
      </c>
      <c r="G19" s="34"/>
      <c r="H19" s="35"/>
      <c r="I19" s="34"/>
      <c r="J19" s="35"/>
      <c r="K19" s="34"/>
      <c r="L19" s="35"/>
    </row>
    <row r="20">
      <c r="A20" s="28">
        <v>9.0</v>
      </c>
      <c r="B20" s="29">
        <f>IFERROR(__xludf.DUMMYFUNCTION("IF(ISBLANK(D21),"""",MAX(FILTER({D21;F21;H21;J21;L21}, ISNUMBER({D21;F21;H21;J21;L21}))))"),46184.0)</f>
        <v>46184</v>
      </c>
      <c r="C20" s="30" t="s">
        <v>87</v>
      </c>
      <c r="D20" s="31"/>
      <c r="E20" s="30" t="s">
        <v>49</v>
      </c>
      <c r="F20" s="31"/>
      <c r="G20" s="30"/>
      <c r="H20" s="31"/>
      <c r="I20" s="30"/>
      <c r="J20" s="31"/>
      <c r="K20" s="30"/>
      <c r="L20" s="31"/>
    </row>
    <row r="21">
      <c r="A21" s="32"/>
      <c r="B21" s="33"/>
      <c r="C21" s="34">
        <v>45771.0</v>
      </c>
      <c r="D21" s="35">
        <v>45929.0</v>
      </c>
      <c r="E21" s="34">
        <v>46143.0</v>
      </c>
      <c r="F21" s="35">
        <v>46184.0</v>
      </c>
      <c r="G21" s="34"/>
      <c r="H21" s="35"/>
      <c r="I21" s="34"/>
      <c r="J21" s="35"/>
      <c r="K21" s="34"/>
      <c r="L21" s="35"/>
    </row>
    <row r="22">
      <c r="A22" s="28">
        <v>10.0</v>
      </c>
      <c r="B22" s="29">
        <f>IFERROR(__xludf.DUMMYFUNCTION("IF(ISBLANK(D23),"""",MAX(FILTER({D23;F23;H23;J23;L23}, ISNUMBER({D23;F23;H23;J23;L23}))))"),46186.0)</f>
        <v>46186</v>
      </c>
      <c r="C22" s="30" t="s">
        <v>49</v>
      </c>
      <c r="D22" s="31"/>
      <c r="E22" s="30" t="s">
        <v>87</v>
      </c>
      <c r="F22" s="31"/>
      <c r="G22" s="30"/>
      <c r="H22" s="31"/>
      <c r="I22" s="30"/>
      <c r="J22" s="31"/>
      <c r="K22" s="30"/>
      <c r="L22" s="31"/>
    </row>
    <row r="23">
      <c r="A23" s="32"/>
      <c r="B23" s="33"/>
      <c r="C23" s="34">
        <v>45888.0</v>
      </c>
      <c r="D23" s="35">
        <v>45935.0</v>
      </c>
      <c r="E23" s="34">
        <v>46122.0</v>
      </c>
      <c r="F23" s="35">
        <v>46186.0</v>
      </c>
      <c r="G23" s="34"/>
      <c r="H23" s="35"/>
      <c r="I23" s="34"/>
      <c r="J23" s="35"/>
      <c r="K23" s="34"/>
      <c r="L23" s="35"/>
    </row>
    <row r="24">
      <c r="A24" s="28">
        <v>11.0</v>
      </c>
      <c r="B24" s="29">
        <f>IFERROR(__xludf.DUMMYFUNCTION("IF(ISBLANK(D25),"""",MAX(FILTER({D25;F25;H25;J25;L25}, ISNUMBER({D25;F25;H25;J25;L25}))))"),46187.0)</f>
        <v>46187</v>
      </c>
      <c r="C24" s="30" t="s">
        <v>29</v>
      </c>
      <c r="D24" s="31"/>
      <c r="E24" s="30" t="s">
        <v>67</v>
      </c>
      <c r="F24" s="31"/>
      <c r="G24" s="30"/>
      <c r="H24" s="31"/>
      <c r="I24" s="30"/>
      <c r="J24" s="31"/>
      <c r="K24" s="30"/>
      <c r="L24" s="31"/>
    </row>
    <row r="25">
      <c r="A25" s="32"/>
      <c r="B25" s="33"/>
      <c r="C25" s="34">
        <v>45830.0</v>
      </c>
      <c r="D25" s="35">
        <v>45900.0</v>
      </c>
      <c r="E25" s="34">
        <v>46107.0</v>
      </c>
      <c r="F25" s="35">
        <v>46187.0</v>
      </c>
      <c r="G25" s="34"/>
      <c r="H25" s="35"/>
      <c r="I25" s="34"/>
      <c r="J25" s="35"/>
      <c r="K25" s="34"/>
      <c r="L25" s="35"/>
    </row>
    <row r="26">
      <c r="A26" s="28">
        <v>12.0</v>
      </c>
      <c r="B26" s="29">
        <f>IFERROR(__xludf.DUMMYFUNCTION("IF(ISBLANK(D27),"""",MAX(FILTER({D27;F27;H27;J27;L27}, ISNUMBER({D27;F27;H27;J27;L27}))))"),45991.0)</f>
        <v>45991</v>
      </c>
      <c r="C26" s="30" t="s">
        <v>49</v>
      </c>
      <c r="D26" s="31"/>
      <c r="E26" s="30" t="s">
        <v>37</v>
      </c>
      <c r="F26" s="31"/>
      <c r="G26" s="30"/>
      <c r="H26" s="31"/>
      <c r="I26" s="30"/>
      <c r="J26" s="31"/>
      <c r="K26" s="30"/>
      <c r="L26" s="31"/>
    </row>
    <row r="27">
      <c r="A27" s="32"/>
      <c r="B27" s="33"/>
      <c r="C27" s="34">
        <v>45888.0</v>
      </c>
      <c r="D27" s="35">
        <v>45991.0</v>
      </c>
      <c r="E27" s="34">
        <v>46133.0</v>
      </c>
      <c r="F27" s="35"/>
      <c r="G27" s="34"/>
      <c r="H27" s="35"/>
      <c r="I27" s="34"/>
      <c r="J27" s="35"/>
      <c r="K27" s="34"/>
      <c r="L27" s="35"/>
    </row>
    <row r="28">
      <c r="A28" s="28">
        <v>13.0</v>
      </c>
      <c r="B28" s="29">
        <f>IFERROR(__xludf.DUMMYFUNCTION("IF(ISBLANK(D29),"""",MAX(FILTER({D29;F29;H29;J29;L29}, ISNUMBER({D29;F29;H29;J29;L29}))))"),46175.0)</f>
        <v>46175</v>
      </c>
      <c r="C28" s="30" t="s">
        <v>64</v>
      </c>
      <c r="D28" s="31"/>
      <c r="E28" s="30" t="s">
        <v>38</v>
      </c>
      <c r="F28" s="31"/>
      <c r="G28" s="30"/>
      <c r="H28" s="31"/>
      <c r="I28" s="30"/>
      <c r="J28" s="31"/>
      <c r="K28" s="30"/>
      <c r="L28" s="31"/>
    </row>
    <row r="29">
      <c r="A29" s="32"/>
      <c r="B29" s="33"/>
      <c r="C29" s="34">
        <v>45815.0</v>
      </c>
      <c r="D29" s="35">
        <v>45888.0</v>
      </c>
      <c r="E29" s="34">
        <v>46107.0</v>
      </c>
      <c r="F29" s="35">
        <v>46175.0</v>
      </c>
      <c r="G29" s="34"/>
      <c r="H29" s="35"/>
      <c r="I29" s="34"/>
      <c r="J29" s="35"/>
      <c r="K29" s="34"/>
      <c r="L29" s="35"/>
    </row>
    <row r="30">
      <c r="A30" s="28">
        <v>14.0</v>
      </c>
      <c r="B30" s="29">
        <f>IFERROR(__xludf.DUMMYFUNCTION("IF(ISBLANK(D31),"""",MAX(FILTER({D31;F31;H31;J31;L31}, ISNUMBER({D31;F31;H31;J31;L31}))))"),46186.0)</f>
        <v>46186</v>
      </c>
      <c r="C30" s="30" t="s">
        <v>38</v>
      </c>
      <c r="D30" s="31"/>
      <c r="E30" s="30" t="s">
        <v>87</v>
      </c>
      <c r="F30" s="31"/>
      <c r="G30" s="30"/>
      <c r="H30" s="31"/>
      <c r="I30" s="30"/>
      <c r="J30" s="31"/>
      <c r="K30" s="30"/>
      <c r="L30" s="31"/>
    </row>
    <row r="31">
      <c r="A31" s="32"/>
      <c r="B31" s="33"/>
      <c r="C31" s="34">
        <v>45853.0</v>
      </c>
      <c r="D31" s="35">
        <v>45937.0</v>
      </c>
      <c r="E31" s="34">
        <v>46117.0</v>
      </c>
      <c r="F31" s="35">
        <v>46186.0</v>
      </c>
      <c r="G31" s="34"/>
      <c r="H31" s="35"/>
      <c r="I31" s="34"/>
      <c r="J31" s="35"/>
      <c r="K31" s="34"/>
      <c r="L31" s="35"/>
    </row>
    <row r="32">
      <c r="A32" s="28">
        <v>15.0</v>
      </c>
      <c r="B32" s="29">
        <f>IFERROR(__xludf.DUMMYFUNCTION("IF(ISBLANK(D33),"""",MAX(FILTER({D33;F33;H33;J33;L33}, ISNUMBER({D33;F33;H33;J33;L33}))))"),46071.0)</f>
        <v>46071</v>
      </c>
      <c r="C32" s="30" t="s">
        <v>49</v>
      </c>
      <c r="D32" s="31"/>
      <c r="E32" s="30" t="s">
        <v>85</v>
      </c>
      <c r="F32" s="31"/>
      <c r="G32" s="30"/>
      <c r="H32" s="31"/>
      <c r="I32" s="30"/>
      <c r="J32" s="31"/>
      <c r="K32" s="30"/>
      <c r="L32" s="31"/>
    </row>
    <row r="33">
      <c r="A33" s="32"/>
      <c r="B33" s="33"/>
      <c r="C33" s="34">
        <v>45708.0</v>
      </c>
      <c r="D33" s="35">
        <v>45732.0</v>
      </c>
      <c r="E33" s="34">
        <v>46042.0</v>
      </c>
      <c r="F33" s="35">
        <v>46071.0</v>
      </c>
      <c r="G33" s="34"/>
      <c r="H33" s="35"/>
      <c r="I33" s="34"/>
      <c r="J33" s="35"/>
      <c r="K33" s="34"/>
      <c r="L33" s="35"/>
    </row>
    <row r="34">
      <c r="A34" s="28">
        <v>16.0</v>
      </c>
      <c r="B34" s="29">
        <f>IFERROR(__xludf.DUMMYFUNCTION("IF(ISBLANK(D35),"""",MAX(FILTER({D35;F35;H35;J35;L35}, ISNUMBER({D35;F35;H35;J35;L35}))))"),46149.0)</f>
        <v>46149</v>
      </c>
      <c r="C34" s="30" t="s">
        <v>85</v>
      </c>
      <c r="D34" s="31"/>
      <c r="E34" s="30" t="s">
        <v>13</v>
      </c>
      <c r="F34" s="31"/>
      <c r="G34" s="30"/>
      <c r="H34" s="31"/>
      <c r="I34" s="30"/>
      <c r="J34" s="31"/>
      <c r="K34" s="30"/>
      <c r="L34" s="31"/>
    </row>
    <row r="35">
      <c r="A35" s="32"/>
      <c r="B35" s="33"/>
      <c r="C35" s="34">
        <v>45776.0</v>
      </c>
      <c r="D35" s="35">
        <v>45837.0</v>
      </c>
      <c r="E35" s="34">
        <v>46109.0</v>
      </c>
      <c r="F35" s="35">
        <v>46149.0</v>
      </c>
      <c r="G35" s="34"/>
      <c r="H35" s="35"/>
      <c r="I35" s="34"/>
      <c r="J35" s="35"/>
      <c r="K35" s="34"/>
      <c r="L35" s="35"/>
    </row>
    <row r="36">
      <c r="A36" s="28">
        <v>17.0</v>
      </c>
      <c r="B36" s="29">
        <f>IFERROR(__xludf.DUMMYFUNCTION("IF(ISBLANK(D37),"""",MAX(FILTER({D37;F37;H37;J37;L37}, ISNUMBER({D37;F37;H37;J37;L37}))))"),46131.0)</f>
        <v>46131</v>
      </c>
      <c r="C36" s="30" t="s">
        <v>13</v>
      </c>
      <c r="D36" s="31"/>
      <c r="E36" s="30" t="s">
        <v>38</v>
      </c>
      <c r="F36" s="31"/>
      <c r="G36" s="30"/>
      <c r="H36" s="31"/>
      <c r="I36" s="30"/>
      <c r="J36" s="31"/>
      <c r="K36" s="30"/>
      <c r="L36" s="31"/>
    </row>
    <row r="37">
      <c r="A37" s="32"/>
      <c r="B37" s="33"/>
      <c r="C37" s="34">
        <v>45773.0</v>
      </c>
      <c r="D37" s="35">
        <v>45865.0</v>
      </c>
      <c r="E37" s="34">
        <v>46071.0</v>
      </c>
      <c r="F37" s="35">
        <v>46131.0</v>
      </c>
      <c r="G37" s="34"/>
      <c r="H37" s="35"/>
      <c r="I37" s="34"/>
      <c r="J37" s="35"/>
      <c r="K37" s="34"/>
      <c r="L37" s="35"/>
    </row>
    <row r="38">
      <c r="A38" s="28">
        <v>18.0</v>
      </c>
      <c r="B38" s="29" t="str">
        <f>IFERROR(__xludf.DUMMYFUNCTION("IF(ISBLANK(D39),"""",MAX(FILTER({D39;F39;H39;J39;L39}, ISNUMBER({D39;F39;H39;J39;L39}))))"),"")</f>
        <v/>
      </c>
      <c r="C38" s="30" t="s">
        <v>14</v>
      </c>
      <c r="D38" s="31"/>
      <c r="E38" s="30"/>
      <c r="F38" s="31"/>
      <c r="G38" s="30"/>
      <c r="H38" s="31"/>
      <c r="I38" s="30"/>
      <c r="J38" s="31"/>
      <c r="K38" s="30"/>
      <c r="L38" s="31"/>
    </row>
    <row r="39">
      <c r="A39" s="32"/>
      <c r="B39" s="33"/>
      <c r="C39" s="34">
        <v>45776.0</v>
      </c>
      <c r="D39" s="35"/>
      <c r="E39" s="34"/>
      <c r="F39" s="35"/>
      <c r="G39" s="34"/>
      <c r="H39" s="35"/>
      <c r="I39" s="34"/>
      <c r="J39" s="35"/>
      <c r="K39" s="34"/>
      <c r="L39" s="35"/>
    </row>
    <row r="40">
      <c r="A40" s="28">
        <v>19.0</v>
      </c>
      <c r="B40" s="29">
        <f>IFERROR(__xludf.DUMMYFUNCTION("IF(ISBLANK(D41),"""",MAX(FILTER({D41;F41;H41;J41;L41}, ISNUMBER({D41;F41;H41;J41;L41}))))"),45914.0)</f>
        <v>45914</v>
      </c>
      <c r="C40" s="30" t="s">
        <v>64</v>
      </c>
      <c r="D40" s="31"/>
      <c r="E40" s="30" t="s">
        <v>87</v>
      </c>
      <c r="F40" s="31"/>
      <c r="G40" s="30"/>
      <c r="H40" s="31"/>
      <c r="I40" s="30"/>
      <c r="J40" s="31"/>
      <c r="K40" s="30"/>
      <c r="L40" s="31"/>
    </row>
    <row r="41">
      <c r="A41" s="32"/>
      <c r="B41" s="33"/>
      <c r="C41" s="34">
        <v>45905.0</v>
      </c>
      <c r="D41" s="35">
        <v>45914.0</v>
      </c>
      <c r="E41" s="34">
        <v>46122.0</v>
      </c>
      <c r="F41" s="35"/>
      <c r="G41" s="34"/>
      <c r="H41" s="35"/>
      <c r="I41" s="34"/>
      <c r="J41" s="35"/>
      <c r="K41" s="34"/>
      <c r="L41" s="35"/>
    </row>
    <row r="42">
      <c r="A42" s="28">
        <v>20.0</v>
      </c>
      <c r="B42" s="29">
        <f>IFERROR(__xludf.DUMMYFUNCTION("IF(ISBLANK(D43),"""",MAX(FILTER({D43;F43;H43;J43;L43}, ISNUMBER({D43;F43;H43;J43;L43}))))"),46121.0)</f>
        <v>46121</v>
      </c>
      <c r="C42" s="30" t="s">
        <v>21</v>
      </c>
      <c r="D42" s="31"/>
      <c r="E42" s="30" t="s">
        <v>49</v>
      </c>
      <c r="F42" s="31"/>
      <c r="G42" s="30" t="s">
        <v>85</v>
      </c>
      <c r="H42" s="31"/>
      <c r="I42" s="30"/>
      <c r="J42" s="31"/>
      <c r="K42" s="30"/>
      <c r="L42" s="31"/>
    </row>
    <row r="43">
      <c r="A43" s="32"/>
      <c r="B43" s="33"/>
      <c r="C43" s="34">
        <v>45764.0</v>
      </c>
      <c r="D43" s="35">
        <v>45765.0</v>
      </c>
      <c r="E43" s="34">
        <v>45950.0</v>
      </c>
      <c r="F43" s="35">
        <v>46046.0</v>
      </c>
      <c r="G43" s="34">
        <v>46113.0</v>
      </c>
      <c r="H43" s="35">
        <v>46121.0</v>
      </c>
      <c r="I43" s="34"/>
      <c r="J43" s="35"/>
      <c r="K43" s="34"/>
      <c r="L43" s="35"/>
    </row>
    <row r="44">
      <c r="A44" s="28">
        <v>21.0</v>
      </c>
      <c r="B44" s="29">
        <f>IFERROR(__xludf.DUMMYFUNCTION("IF(ISBLANK(D45),"""",MAX(FILTER({D45;F45;H45;J45;L45}, ISNUMBER({D45;F45;H45;J45;L45}))))"),46106.0)</f>
        <v>46106</v>
      </c>
      <c r="C44" s="30" t="s">
        <v>96</v>
      </c>
      <c r="D44" s="31"/>
      <c r="E44" s="30" t="s">
        <v>85</v>
      </c>
      <c r="F44" s="31"/>
      <c r="G44" s="30"/>
      <c r="H44" s="31"/>
      <c r="I44" s="30"/>
      <c r="J44" s="31"/>
      <c r="K44" s="30"/>
      <c r="L44" s="31"/>
    </row>
    <row r="45">
      <c r="A45" s="32"/>
      <c r="B45" s="33"/>
      <c r="C45" s="34">
        <v>45704.0</v>
      </c>
      <c r="D45" s="35">
        <v>45811.0</v>
      </c>
      <c r="E45" s="34">
        <v>46096.0</v>
      </c>
      <c r="F45" s="35">
        <v>46106.0</v>
      </c>
      <c r="G45" s="34"/>
      <c r="H45" s="35"/>
      <c r="I45" s="34"/>
      <c r="J45" s="35"/>
      <c r="K45" s="34"/>
      <c r="L45" s="35"/>
    </row>
    <row r="46">
      <c r="A46" s="28">
        <v>22.0</v>
      </c>
      <c r="B46" s="29">
        <f>IFERROR(__xludf.DUMMYFUNCTION("IF(ISBLANK(D47),"""",MAX(FILTER({D47;F47;H47;J47;L47}, ISNUMBER({D47;F47;H47;J47;L47}))))"),46122.0)</f>
        <v>46122</v>
      </c>
      <c r="C46" s="30" t="s">
        <v>64</v>
      </c>
      <c r="D46" s="31"/>
      <c r="E46" s="30" t="s">
        <v>85</v>
      </c>
      <c r="F46" s="31"/>
      <c r="G46" s="30"/>
      <c r="H46" s="31"/>
      <c r="I46" s="30"/>
      <c r="J46" s="31"/>
      <c r="K46" s="30"/>
      <c r="L46" s="31"/>
    </row>
    <row r="47">
      <c r="A47" s="32"/>
      <c r="B47" s="33"/>
      <c r="C47" s="34">
        <v>45815.0</v>
      </c>
      <c r="D47" s="35">
        <v>45888.0</v>
      </c>
      <c r="E47" s="34">
        <v>46091.0</v>
      </c>
      <c r="F47" s="35">
        <v>46122.0</v>
      </c>
      <c r="G47" s="34"/>
      <c r="H47" s="35"/>
      <c r="I47" s="34"/>
      <c r="J47" s="35"/>
      <c r="K47" s="34"/>
      <c r="L47" s="35"/>
    </row>
    <row r="48">
      <c r="A48" s="28">
        <v>23.0</v>
      </c>
      <c r="B48" s="29">
        <f>IFERROR(__xludf.DUMMYFUNCTION("IF(ISBLANK(D49),"""",MAX(FILTER({D49;F49;H49;J49;L49}, ISNUMBER({D49;F49;H49;J49;L49}))))"),46109.0)</f>
        <v>46109</v>
      </c>
      <c r="C48" s="30" t="s">
        <v>67</v>
      </c>
      <c r="D48" s="31"/>
      <c r="E48" s="30"/>
      <c r="F48" s="31"/>
      <c r="G48" s="30"/>
      <c r="H48" s="31"/>
      <c r="I48" s="30"/>
      <c r="J48" s="31"/>
      <c r="K48" s="30"/>
      <c r="L48" s="31"/>
    </row>
    <row r="49">
      <c r="A49" s="32"/>
      <c r="B49" s="33"/>
      <c r="C49" s="34">
        <v>45853.0</v>
      </c>
      <c r="D49" s="35">
        <v>46109.0</v>
      </c>
      <c r="E49" s="34"/>
      <c r="F49" s="35"/>
      <c r="G49" s="34"/>
      <c r="H49" s="35"/>
      <c r="I49" s="34"/>
      <c r="J49" s="35"/>
      <c r="K49" s="34"/>
      <c r="L49" s="35"/>
    </row>
    <row r="50">
      <c r="A50" s="28">
        <v>24.0</v>
      </c>
      <c r="B50" s="29">
        <f>IFERROR(__xludf.DUMMYFUNCTION("IF(ISBLANK(D51),"""",MAX(FILTER({D51;F51;H51;J51;L51}, ISNUMBER({D51;F51;H51;J51;L51}))))"),46215.0)</f>
        <v>46215</v>
      </c>
      <c r="C50" s="30" t="s">
        <v>13</v>
      </c>
      <c r="D50" s="31"/>
      <c r="E50" s="30" t="s">
        <v>49</v>
      </c>
      <c r="F50" s="31"/>
      <c r="G50" s="30"/>
      <c r="H50" s="31"/>
      <c r="I50" s="30"/>
      <c r="J50" s="31"/>
      <c r="K50" s="30"/>
      <c r="L50" s="31"/>
    </row>
    <row r="51">
      <c r="A51" s="32"/>
      <c r="B51" s="33"/>
      <c r="C51" s="34">
        <v>45802.0</v>
      </c>
      <c r="D51" s="35">
        <v>45930.0</v>
      </c>
      <c r="E51" s="34">
        <v>46149.0</v>
      </c>
      <c r="F51" s="35">
        <v>46215.0</v>
      </c>
      <c r="G51" s="34"/>
      <c r="H51" s="35"/>
      <c r="I51" s="34"/>
      <c r="J51" s="35"/>
      <c r="K51" s="34"/>
      <c r="L51" s="35"/>
    </row>
    <row r="52">
      <c r="A52" s="28">
        <v>25.0</v>
      </c>
      <c r="B52" s="29">
        <f>IFERROR(__xludf.DUMMYFUNCTION("IF(ISBLANK(D53),"""",MAX(FILTER({D53;F53;H53;J53;L53}, ISNUMBER({D53;F53;H53;J53;L53}))))"),46187.0)</f>
        <v>46187</v>
      </c>
      <c r="C52" s="30" t="s">
        <v>13</v>
      </c>
      <c r="D52" s="31"/>
      <c r="E52" s="30" t="s">
        <v>64</v>
      </c>
      <c r="F52" s="31"/>
      <c r="G52" s="30"/>
      <c r="H52" s="31"/>
      <c r="I52" s="30"/>
      <c r="J52" s="31"/>
      <c r="K52" s="30"/>
      <c r="L52" s="31"/>
    </row>
    <row r="53">
      <c r="A53" s="32"/>
      <c r="B53" s="33"/>
      <c r="C53" s="34">
        <v>45888.0</v>
      </c>
      <c r="D53" s="35">
        <v>45930.0</v>
      </c>
      <c r="E53" s="34">
        <v>46159.0</v>
      </c>
      <c r="F53" s="35">
        <v>46187.0</v>
      </c>
      <c r="G53" s="34"/>
      <c r="H53" s="35"/>
      <c r="I53" s="34"/>
      <c r="J53" s="35"/>
      <c r="K53" s="34"/>
      <c r="L53" s="35"/>
    </row>
    <row r="54">
      <c r="A54" s="28">
        <v>26.0</v>
      </c>
      <c r="B54" s="29">
        <f>IFERROR(__xludf.DUMMYFUNCTION("IF(ISBLANK(D55),"""",MAX(FILTER({D55;F55;H55;J55;L55}, ISNUMBER({D55;F55;H55;J55;L55}))))"),46264.0)</f>
        <v>46264</v>
      </c>
      <c r="C54" s="30" t="s">
        <v>76</v>
      </c>
      <c r="D54" s="31"/>
      <c r="E54" s="30" t="s">
        <v>8</v>
      </c>
      <c r="F54" s="31"/>
      <c r="G54" s="30"/>
      <c r="H54" s="31"/>
      <c r="I54" s="30"/>
      <c r="J54" s="31"/>
      <c r="K54" s="30"/>
      <c r="L54" s="31"/>
    </row>
    <row r="55">
      <c r="A55" s="32"/>
      <c r="B55" s="33"/>
      <c r="C55" s="34">
        <v>45676.0</v>
      </c>
      <c r="D55" s="35">
        <v>46264.0</v>
      </c>
      <c r="E55" s="34">
        <v>46264.0</v>
      </c>
      <c r="F55" s="35"/>
      <c r="G55" s="34"/>
      <c r="H55" s="35"/>
      <c r="I55" s="34"/>
      <c r="J55" s="35"/>
      <c r="K55" s="34"/>
      <c r="L55" s="35"/>
    </row>
    <row r="56">
      <c r="A56" s="28">
        <v>27.0</v>
      </c>
      <c r="B56" s="29">
        <f>IFERROR(__xludf.DUMMYFUNCTION("IF(ISBLANK(D57),"""",MAX(FILTER({D57;F57;H57;J57;L57}, ISNUMBER({D57;F57;H57;J57;L57}))))"),46180.0)</f>
        <v>46180</v>
      </c>
      <c r="C56" s="30" t="s">
        <v>11</v>
      </c>
      <c r="D56" s="31"/>
      <c r="E56" s="30" t="s">
        <v>64</v>
      </c>
      <c r="F56" s="31"/>
      <c r="G56" s="30"/>
      <c r="H56" s="31"/>
      <c r="I56" s="30"/>
      <c r="J56" s="31"/>
      <c r="K56" s="30"/>
      <c r="L56" s="31"/>
    </row>
    <row r="57">
      <c r="A57" s="32"/>
      <c r="B57" s="33"/>
      <c r="C57" s="34">
        <v>45802.0</v>
      </c>
      <c r="D57" s="35">
        <v>45928.0</v>
      </c>
      <c r="E57" s="34">
        <v>46159.0</v>
      </c>
      <c r="F57" s="35">
        <v>46180.0</v>
      </c>
      <c r="G57" s="34"/>
      <c r="H57" s="35"/>
      <c r="I57" s="34"/>
      <c r="J57" s="35"/>
      <c r="K57" s="34"/>
      <c r="L57" s="35"/>
    </row>
    <row r="58">
      <c r="A58" s="28">
        <v>28.0</v>
      </c>
      <c r="B58" s="29">
        <f>IFERROR(__xludf.DUMMYFUNCTION("IF(ISBLANK(D59),"""",MAX(FILTER({D59;F59;H59;J59;L59}, ISNUMBER({D59;F59;H59;J59;L59}))))"),46106.0)</f>
        <v>46106</v>
      </c>
      <c r="C58" s="30" t="s">
        <v>29</v>
      </c>
      <c r="D58" s="31"/>
      <c r="E58" s="30" t="s">
        <v>87</v>
      </c>
      <c r="F58" s="31"/>
      <c r="G58" s="30"/>
      <c r="H58" s="31"/>
      <c r="I58" s="30"/>
      <c r="J58" s="31"/>
      <c r="K58" s="30"/>
      <c r="L58" s="31"/>
    </row>
    <row r="59">
      <c r="A59" s="32"/>
      <c r="B59" s="33"/>
      <c r="C59" s="34">
        <v>45676.0</v>
      </c>
      <c r="D59" s="35">
        <v>45720.0</v>
      </c>
      <c r="E59" s="34">
        <v>46036.0</v>
      </c>
      <c r="F59" s="35">
        <v>46106.0</v>
      </c>
      <c r="G59" s="34"/>
      <c r="H59" s="35"/>
      <c r="I59" s="34"/>
      <c r="J59" s="35"/>
      <c r="K59" s="34"/>
      <c r="L59" s="35"/>
    </row>
    <row r="60">
      <c r="A60" s="28">
        <v>29.0</v>
      </c>
      <c r="B60" s="29">
        <f>IFERROR(__xludf.DUMMYFUNCTION("IF(ISBLANK(D61),"""",MAX(FILTER({D61;F61;H61;J61;L61}, ISNUMBER({D61;F61;H61;J61;L61}))))"),46186.0)</f>
        <v>46186</v>
      </c>
      <c r="C60" s="30" t="s">
        <v>13</v>
      </c>
      <c r="D60" s="31"/>
      <c r="E60" s="30" t="s">
        <v>87</v>
      </c>
      <c r="F60" s="31"/>
      <c r="G60" s="30"/>
      <c r="H60" s="31"/>
      <c r="I60" s="30"/>
      <c r="J60" s="31"/>
      <c r="K60" s="30"/>
      <c r="L60" s="31"/>
    </row>
    <row r="61">
      <c r="A61" s="32"/>
      <c r="B61" s="33"/>
      <c r="C61" s="34">
        <v>45888.0</v>
      </c>
      <c r="D61" s="35">
        <v>45928.0</v>
      </c>
      <c r="E61" s="34">
        <v>46159.0</v>
      </c>
      <c r="F61" s="35">
        <v>46186.0</v>
      </c>
      <c r="G61" s="34"/>
      <c r="H61" s="35"/>
      <c r="I61" s="34"/>
      <c r="J61" s="35"/>
      <c r="K61" s="34"/>
      <c r="L61" s="35"/>
    </row>
    <row r="62">
      <c r="A62" s="28">
        <v>30.0</v>
      </c>
      <c r="B62" s="29">
        <f>IFERROR(__xludf.DUMMYFUNCTION("IF(ISBLANK(D63),"""",MAX(FILTER({D63;F63;H63;J63;L63}, ISNUMBER({D63;F63;H63;J63;L63}))))"),45974.0)</f>
        <v>45974</v>
      </c>
      <c r="C62" s="30" t="s">
        <v>21</v>
      </c>
      <c r="D62" s="31"/>
      <c r="E62" s="30" t="s">
        <v>13</v>
      </c>
      <c r="F62" s="31"/>
      <c r="G62" s="30"/>
      <c r="H62" s="31"/>
      <c r="I62" s="30"/>
      <c r="J62" s="31"/>
      <c r="K62" s="30"/>
      <c r="L62" s="31"/>
    </row>
    <row r="63">
      <c r="A63" s="32"/>
      <c r="B63" s="33"/>
      <c r="C63" s="34">
        <v>45883.0</v>
      </c>
      <c r="D63" s="35">
        <v>45974.0</v>
      </c>
      <c r="E63" s="34">
        <v>46149.0</v>
      </c>
      <c r="F63" s="35"/>
      <c r="G63" s="34"/>
      <c r="H63" s="35"/>
      <c r="I63" s="34"/>
      <c r="J63" s="35"/>
      <c r="K63" s="34"/>
      <c r="L63" s="35"/>
    </row>
    <row r="64">
      <c r="A64" s="28">
        <v>31.0</v>
      </c>
      <c r="B64" s="29">
        <f>IFERROR(__xludf.DUMMYFUNCTION("IF(ISBLANK(D65),"""",MAX(FILTER({D65;F65;H65;J65;L65}, ISNUMBER({D65;F65;H65;J65;L65}))))"),46130.0)</f>
        <v>46130</v>
      </c>
      <c r="C64" s="30" t="s">
        <v>21</v>
      </c>
      <c r="D64" s="31"/>
      <c r="E64" s="30" t="s">
        <v>49</v>
      </c>
      <c r="F64" s="31"/>
      <c r="G64" s="30"/>
      <c r="H64" s="31"/>
      <c r="I64" s="30"/>
      <c r="J64" s="31"/>
      <c r="K64" s="30"/>
      <c r="L64" s="31"/>
    </row>
    <row r="65">
      <c r="A65" s="32"/>
      <c r="B65" s="33"/>
      <c r="C65" s="34">
        <v>45657.0</v>
      </c>
      <c r="D65" s="35">
        <v>45669.0</v>
      </c>
      <c r="E65" s="34">
        <v>46091.0</v>
      </c>
      <c r="F65" s="35">
        <v>46130.0</v>
      </c>
      <c r="G65" s="34"/>
      <c r="H65" s="35"/>
      <c r="I65" s="34"/>
      <c r="J65" s="35"/>
      <c r="K65" s="34"/>
      <c r="L65" s="35"/>
    </row>
    <row r="66">
      <c r="A66" s="28">
        <v>32.0</v>
      </c>
      <c r="B66" s="29">
        <f>IFERROR(__xludf.DUMMYFUNCTION("IF(ISBLANK(D67),"""",MAX(FILTER({D67;F67;H67;J67;L67}, ISNUMBER({D67;F67;H67;J67;L67}))))"),46106.0)</f>
        <v>46106</v>
      </c>
      <c r="C66" s="30" t="s">
        <v>67</v>
      </c>
      <c r="D66" s="31"/>
      <c r="E66" s="30" t="s">
        <v>87</v>
      </c>
      <c r="F66" s="31"/>
      <c r="G66" s="30"/>
      <c r="H66" s="31"/>
      <c r="I66" s="30"/>
      <c r="J66" s="31"/>
      <c r="K66" s="30"/>
      <c r="L66" s="31"/>
    </row>
    <row r="67">
      <c r="A67" s="32"/>
      <c r="B67" s="33"/>
      <c r="C67" s="34">
        <v>45649.0</v>
      </c>
      <c r="D67" s="35">
        <v>45757.0</v>
      </c>
      <c r="E67" s="34">
        <v>46005.0</v>
      </c>
      <c r="F67" s="35">
        <v>46106.0</v>
      </c>
      <c r="G67" s="34"/>
      <c r="H67" s="35"/>
      <c r="I67" s="34"/>
      <c r="J67" s="35"/>
      <c r="K67" s="34"/>
      <c r="L67" s="35"/>
    </row>
    <row r="68">
      <c r="A68" s="28">
        <v>33.0</v>
      </c>
      <c r="B68" s="29">
        <f>IFERROR(__xludf.DUMMYFUNCTION("IF(ISBLANK(D69),"""",MAX(FILTER({D69;F69;H69;J69;L69}, ISNUMBER({D69;F69;H69;J69;L69}))))"),46109.0)</f>
        <v>46109</v>
      </c>
      <c r="C68" s="30" t="s">
        <v>13</v>
      </c>
      <c r="D68" s="31"/>
      <c r="E68" s="30" t="s">
        <v>85</v>
      </c>
      <c r="F68" s="31"/>
      <c r="G68" s="30"/>
      <c r="H68" s="31"/>
      <c r="I68" s="30"/>
      <c r="J68" s="31"/>
      <c r="K68" s="30"/>
      <c r="L68" s="31"/>
    </row>
    <row r="69">
      <c r="A69" s="32"/>
      <c r="B69" s="33"/>
      <c r="C69" s="34">
        <v>45704.0</v>
      </c>
      <c r="D69" s="35">
        <v>45739.0</v>
      </c>
      <c r="E69" s="34">
        <v>46079.0</v>
      </c>
      <c r="F69" s="35">
        <v>46109.0</v>
      </c>
      <c r="G69" s="34"/>
      <c r="H69" s="35"/>
      <c r="I69" s="34"/>
      <c r="J69" s="35"/>
      <c r="K69" s="34"/>
      <c r="L69" s="35"/>
    </row>
    <row r="70">
      <c r="A70" s="28">
        <v>34.0</v>
      </c>
      <c r="B70" s="29">
        <f>IFERROR(__xludf.DUMMYFUNCTION("IF(ISBLANK(D71),"""",MAX(FILTER({D71;F71;H71;J71;L71}, ISNUMBER({D71;F71;H71;J71;L71}))))"),45755.0)</f>
        <v>45755</v>
      </c>
      <c r="C70" s="30" t="s">
        <v>87</v>
      </c>
      <c r="D70" s="31"/>
      <c r="E70" s="30" t="s">
        <v>69</v>
      </c>
      <c r="F70" s="31"/>
      <c r="G70" s="30"/>
      <c r="H70" s="31"/>
      <c r="I70" s="30"/>
      <c r="J70" s="31"/>
      <c r="K70" s="30"/>
      <c r="L70" s="31"/>
    </row>
    <row r="71">
      <c r="A71" s="32"/>
      <c r="B71" s="33"/>
      <c r="C71" s="34">
        <v>45718.0</v>
      </c>
      <c r="D71" s="35">
        <v>45755.0</v>
      </c>
      <c r="E71" s="34">
        <v>46048.0</v>
      </c>
      <c r="F71" s="35"/>
      <c r="G71" s="34"/>
      <c r="H71" s="35"/>
      <c r="I71" s="34"/>
      <c r="J71" s="35"/>
      <c r="K71" s="34"/>
      <c r="L71" s="35"/>
    </row>
    <row r="72">
      <c r="A72" s="28">
        <v>35.0</v>
      </c>
      <c r="B72" s="29">
        <f>IFERROR(__xludf.DUMMYFUNCTION("IF(ISBLANK(D73),"""",MAX(FILTER({D73;F73;H73;J73;L73}, ISNUMBER({D73;F73;H73;J73;L73}))))"),46226.0)</f>
        <v>46226</v>
      </c>
      <c r="C72" s="30" t="s">
        <v>49</v>
      </c>
      <c r="D72" s="31"/>
      <c r="E72" s="30" t="s">
        <v>85</v>
      </c>
      <c r="F72" s="31"/>
      <c r="G72" s="30" t="s">
        <v>64</v>
      </c>
      <c r="H72" s="31"/>
      <c r="I72" s="30"/>
      <c r="J72" s="31"/>
      <c r="K72" s="30"/>
      <c r="L72" s="31"/>
    </row>
    <row r="73">
      <c r="A73" s="32"/>
      <c r="B73" s="33"/>
      <c r="C73" s="34">
        <v>45773.0</v>
      </c>
      <c r="D73" s="35">
        <v>45832.0</v>
      </c>
      <c r="E73" s="34">
        <v>46101.0</v>
      </c>
      <c r="F73" s="35">
        <v>46106.0</v>
      </c>
      <c r="G73" s="34">
        <v>46182.0</v>
      </c>
      <c r="H73" s="35">
        <v>46226.0</v>
      </c>
      <c r="I73" s="34"/>
      <c r="J73" s="35"/>
      <c r="K73" s="34"/>
      <c r="L73" s="35"/>
    </row>
    <row r="74">
      <c r="A74" s="28">
        <v>36.0</v>
      </c>
      <c r="B74" s="29">
        <f>IFERROR(__xludf.DUMMYFUNCTION("IF(ISBLANK(D75),"""",MAX(FILTER({D75;F75;H75;J75;L75}, ISNUMBER({D75;F75;H75;J75;L75}))))"),46271.0)</f>
        <v>46271</v>
      </c>
      <c r="C74" s="30" t="s">
        <v>44</v>
      </c>
      <c r="D74" s="31"/>
      <c r="E74" s="30" t="s">
        <v>38</v>
      </c>
      <c r="F74" s="31"/>
      <c r="G74" s="30" t="s">
        <v>38</v>
      </c>
      <c r="H74" s="31"/>
      <c r="I74" s="30"/>
      <c r="J74" s="31"/>
      <c r="K74" s="30"/>
      <c r="L74" s="31"/>
    </row>
    <row r="75">
      <c r="A75" s="32"/>
      <c r="B75" s="33"/>
      <c r="C75" s="34">
        <v>45851.0</v>
      </c>
      <c r="D75" s="35">
        <v>45914.0</v>
      </c>
      <c r="E75" s="34">
        <v>46173.0</v>
      </c>
      <c r="F75" s="35">
        <v>46271.0</v>
      </c>
      <c r="G75" s="34">
        <v>46271.0</v>
      </c>
      <c r="H75" s="35"/>
      <c r="I75" s="34"/>
      <c r="J75" s="35"/>
      <c r="K75" s="34"/>
      <c r="L75" s="35"/>
    </row>
    <row r="76">
      <c r="A76" s="28">
        <v>37.0</v>
      </c>
      <c r="B76" s="29">
        <f>IFERROR(__xludf.DUMMYFUNCTION("IF(ISBLANK(D77),"""",MAX(FILTER({D77;F77;H77;J77;L77}, ISNUMBER({D77;F77;H77;J77;L77}))))"),45755.0)</f>
        <v>45755</v>
      </c>
      <c r="C76" s="30" t="s">
        <v>64</v>
      </c>
      <c r="D76" s="31"/>
      <c r="E76" s="30" t="s">
        <v>87</v>
      </c>
      <c r="F76" s="31"/>
      <c r="G76" s="30"/>
      <c r="H76" s="31"/>
      <c r="I76" s="30"/>
      <c r="J76" s="31"/>
      <c r="K76" s="30"/>
      <c r="L76" s="31"/>
    </row>
    <row r="77">
      <c r="A77" s="32"/>
      <c r="B77" s="33"/>
      <c r="C77" s="34">
        <v>45732.0</v>
      </c>
      <c r="D77" s="35">
        <v>45755.0</v>
      </c>
      <c r="E77" s="34">
        <v>46036.0</v>
      </c>
      <c r="F77" s="35"/>
      <c r="G77" s="34"/>
      <c r="H77" s="35"/>
      <c r="I77" s="34"/>
      <c r="J77" s="35"/>
      <c r="K77" s="34"/>
      <c r="L77" s="35"/>
    </row>
    <row r="78">
      <c r="A78" s="28">
        <v>38.0</v>
      </c>
      <c r="B78" s="29">
        <f>IFERROR(__xludf.DUMMYFUNCTION("IF(ISBLANK(D79),"""",MAX(FILTER({D79;F79;H79;J79;L79}, ISNUMBER({D79;F79;H79;J79;L79}))))"),46142.0)</f>
        <v>46142</v>
      </c>
      <c r="C78" s="30" t="s">
        <v>21</v>
      </c>
      <c r="D78" s="31"/>
      <c r="E78" s="30" t="s">
        <v>49</v>
      </c>
      <c r="F78" s="31"/>
      <c r="G78" s="30"/>
      <c r="H78" s="31"/>
      <c r="I78" s="30"/>
      <c r="J78" s="31"/>
      <c r="K78" s="30"/>
      <c r="L78" s="31"/>
    </row>
    <row r="79">
      <c r="A79" s="32"/>
      <c r="B79" s="33"/>
      <c r="C79" s="34">
        <v>45783.0</v>
      </c>
      <c r="D79" s="35">
        <v>45844.0</v>
      </c>
      <c r="E79" s="34">
        <v>46101.0</v>
      </c>
      <c r="F79" s="35">
        <v>46142.0</v>
      </c>
      <c r="G79" s="34"/>
      <c r="H79" s="35"/>
      <c r="I79" s="34"/>
      <c r="J79" s="35"/>
      <c r="K79" s="34"/>
      <c r="L79" s="35"/>
    </row>
    <row r="80">
      <c r="A80" s="28">
        <v>39.0</v>
      </c>
      <c r="B80" s="29">
        <f>IFERROR(__xludf.DUMMYFUNCTION("IF(ISBLANK(D81),"""",MAX(FILTER({D81;F81;H81;J81;L81}, ISNUMBER({D81;F81;H81;J81;L81}))))"),46271.0)</f>
        <v>46271</v>
      </c>
      <c r="C80" s="30" t="s">
        <v>13</v>
      </c>
      <c r="D80" s="31"/>
      <c r="E80" s="30" t="s">
        <v>44</v>
      </c>
      <c r="F80" s="31"/>
      <c r="G80" s="30"/>
      <c r="H80" s="31"/>
      <c r="I80" s="30"/>
      <c r="J80" s="31"/>
      <c r="K80" s="30"/>
      <c r="L80" s="31"/>
    </row>
    <row r="81">
      <c r="A81" s="32"/>
      <c r="B81" s="33"/>
      <c r="C81" s="34">
        <v>45888.0</v>
      </c>
      <c r="D81" s="35">
        <v>45930.0</v>
      </c>
      <c r="E81" s="34">
        <v>46182.0</v>
      </c>
      <c r="F81" s="35">
        <v>46271.0</v>
      </c>
      <c r="G81" s="34"/>
      <c r="H81" s="35"/>
      <c r="I81" s="34"/>
      <c r="J81" s="35"/>
      <c r="K81" s="34"/>
      <c r="L81" s="35"/>
    </row>
    <row r="82">
      <c r="A82" s="28">
        <v>40.0</v>
      </c>
      <c r="B82" s="29">
        <f>IFERROR(__xludf.DUMMYFUNCTION("IF(ISBLANK(D83),"""",MAX(FILTER({D83;F83;H83;J83;L83}, ISNUMBER({D83;F83;H83;J83;L83}))))"),45935.0)</f>
        <v>45935</v>
      </c>
      <c r="C82" s="30" t="s">
        <v>49</v>
      </c>
      <c r="D82" s="31"/>
      <c r="E82" s="30" t="s">
        <v>72</v>
      </c>
      <c r="F82" s="31"/>
      <c r="G82" s="30"/>
      <c r="H82" s="31"/>
      <c r="I82" s="30"/>
      <c r="J82" s="31"/>
      <c r="K82" s="30"/>
      <c r="L82" s="31"/>
    </row>
    <row r="83">
      <c r="A83" s="32"/>
      <c r="B83" s="33"/>
      <c r="C83" s="34">
        <v>45888.0</v>
      </c>
      <c r="D83" s="35">
        <v>45935.0</v>
      </c>
      <c r="E83" s="34">
        <v>46182.0</v>
      </c>
      <c r="F83" s="35"/>
      <c r="G83" s="34"/>
      <c r="H83" s="35"/>
      <c r="I83" s="34"/>
      <c r="J83" s="35"/>
      <c r="K83" s="34"/>
      <c r="L83" s="35"/>
    </row>
    <row r="84">
      <c r="A84" s="28">
        <v>41.0</v>
      </c>
      <c r="B84" s="29">
        <f>IFERROR(__xludf.DUMMYFUNCTION("IF(ISBLANK(D85),"""",MAX(FILTER({D85;F85;H85;J85;L85}, ISNUMBER({D85;F85;H85;J85;L85}))))"),46135.0)</f>
        <v>46135</v>
      </c>
      <c r="C84" s="30" t="s">
        <v>31</v>
      </c>
      <c r="D84" s="31"/>
      <c r="E84" s="30" t="s">
        <v>67</v>
      </c>
      <c r="F84" s="31"/>
      <c r="G84" s="30"/>
      <c r="H84" s="31"/>
      <c r="I84" s="30"/>
      <c r="J84" s="31"/>
      <c r="K84" s="30"/>
      <c r="L84" s="31"/>
    </row>
    <row r="85">
      <c r="A85" s="32"/>
      <c r="B85" s="33"/>
      <c r="C85" s="34">
        <v>45679.0</v>
      </c>
      <c r="D85" s="35">
        <v>45797.0</v>
      </c>
      <c r="E85" s="34">
        <v>46107.0</v>
      </c>
      <c r="F85" s="35">
        <v>46135.0</v>
      </c>
      <c r="G85" s="34"/>
      <c r="H85" s="35"/>
      <c r="I85" s="34"/>
      <c r="J85" s="35"/>
      <c r="K85" s="34"/>
      <c r="L85" s="35"/>
    </row>
    <row r="86">
      <c r="A86" s="28">
        <v>42.0</v>
      </c>
      <c r="B86" s="29">
        <f>IFERROR(__xludf.DUMMYFUNCTION("IF(ISBLANK(D87),"""",MAX(FILTER({D87;F87;H87;J87;L87}, ISNUMBER({D87;F87;H87;J87;L87}))))"),46109.0)</f>
        <v>46109</v>
      </c>
      <c r="C86" s="30" t="s">
        <v>67</v>
      </c>
      <c r="D86" s="31"/>
      <c r="E86" s="30" t="s">
        <v>47</v>
      </c>
      <c r="F86" s="31"/>
      <c r="G86" s="30" t="s">
        <v>64</v>
      </c>
      <c r="H86" s="31"/>
      <c r="I86" s="30"/>
      <c r="J86" s="31"/>
      <c r="K86" s="30"/>
      <c r="L86" s="31"/>
    </row>
    <row r="87">
      <c r="A87" s="32"/>
      <c r="B87" s="33"/>
      <c r="C87" s="34">
        <v>45597.0</v>
      </c>
      <c r="D87" s="35">
        <v>45929.0</v>
      </c>
      <c r="E87" s="34">
        <v>46063.0</v>
      </c>
      <c r="F87" s="35">
        <v>46109.0</v>
      </c>
      <c r="G87" s="34">
        <v>46275.0</v>
      </c>
      <c r="H87" s="35"/>
      <c r="I87" s="34"/>
      <c r="J87" s="35"/>
      <c r="K87" s="34"/>
      <c r="L87" s="35"/>
    </row>
    <row r="88">
      <c r="A88" s="28">
        <v>43.0</v>
      </c>
      <c r="B88" s="29">
        <f>IFERROR(__xludf.DUMMYFUNCTION("IF(ISBLANK(D89),"""",MAX(FILTER({D89;F89;H89;J89;L89}, ISNUMBER({D89;F89;H89;J89;L89}))))"),46238.0)</f>
        <v>46238</v>
      </c>
      <c r="C88" s="30" t="s">
        <v>7</v>
      </c>
      <c r="D88" s="31"/>
      <c r="E88" s="30"/>
      <c r="F88" s="31"/>
      <c r="G88" s="30"/>
      <c r="H88" s="31"/>
      <c r="I88" s="30"/>
      <c r="J88" s="31"/>
      <c r="K88" s="30"/>
      <c r="L88" s="31"/>
    </row>
    <row r="89">
      <c r="A89" s="32"/>
      <c r="B89" s="33"/>
      <c r="C89" s="34">
        <v>45930.0</v>
      </c>
      <c r="D89" s="35">
        <v>46238.0</v>
      </c>
      <c r="E89" s="34"/>
      <c r="F89" s="35"/>
      <c r="G89" s="34"/>
      <c r="H89" s="35"/>
      <c r="I89" s="34"/>
      <c r="J89" s="35"/>
      <c r="K89" s="34"/>
      <c r="L89" s="35"/>
    </row>
    <row r="90">
      <c r="A90" s="28">
        <v>44.0</v>
      </c>
      <c r="B90" s="29">
        <f>IFERROR(__xludf.DUMMYFUNCTION("IF(ISBLANK(D91),"""",MAX(FILTER({D91;F91;H91;J91;L91}, ISNUMBER({D91;F91;H91;J91;L91}))))"),45881.0)</f>
        <v>45881</v>
      </c>
      <c r="C90" s="30" t="s">
        <v>67</v>
      </c>
      <c r="D90" s="31"/>
      <c r="E90" s="30" t="s">
        <v>72</v>
      </c>
      <c r="F90" s="31"/>
      <c r="G90" s="30"/>
      <c r="H90" s="31"/>
      <c r="I90" s="30"/>
      <c r="J90" s="31"/>
      <c r="K90" s="30"/>
      <c r="L90" s="31"/>
    </row>
    <row r="91">
      <c r="A91" s="32"/>
      <c r="B91" s="33"/>
      <c r="C91" s="34">
        <v>45802.0</v>
      </c>
      <c r="D91" s="35">
        <v>45881.0</v>
      </c>
      <c r="E91" s="34">
        <v>46182.0</v>
      </c>
      <c r="F91" s="35"/>
      <c r="G91" s="34"/>
      <c r="H91" s="35"/>
      <c r="I91" s="34"/>
      <c r="J91" s="35"/>
      <c r="K91" s="34"/>
      <c r="L91" s="35"/>
    </row>
    <row r="92">
      <c r="A92" s="28">
        <v>45.0</v>
      </c>
      <c r="B92" s="29">
        <f>IFERROR(__xludf.DUMMYFUNCTION("IF(ISBLANK(D93),"""",MAX(FILTER({D93;F93;H93;J93;L93}, ISNUMBER({D93;F93;H93;J93;L93}))))"),45998.0)</f>
        <v>45998</v>
      </c>
      <c r="C92" s="30" t="s">
        <v>13</v>
      </c>
      <c r="D92" s="31"/>
      <c r="E92" s="30" t="s">
        <v>85</v>
      </c>
      <c r="F92" s="31"/>
      <c r="G92" s="30" t="s">
        <v>87</v>
      </c>
      <c r="H92" s="31"/>
      <c r="I92" s="30"/>
      <c r="J92" s="31"/>
      <c r="K92" s="30"/>
      <c r="L92" s="31"/>
    </row>
    <row r="93">
      <c r="A93" s="32"/>
      <c r="B93" s="33"/>
      <c r="C93" s="34">
        <v>45732.0</v>
      </c>
      <c r="D93" s="35">
        <v>45762.0</v>
      </c>
      <c r="E93" s="34">
        <v>45982.0</v>
      </c>
      <c r="F93" s="35">
        <v>45998.0</v>
      </c>
      <c r="G93" s="34">
        <v>46183.0</v>
      </c>
      <c r="H93" s="35"/>
      <c r="I93" s="34"/>
      <c r="J93" s="35"/>
      <c r="K93" s="34"/>
      <c r="L93" s="35"/>
    </row>
    <row r="94">
      <c r="A94" s="28">
        <v>46.0</v>
      </c>
      <c r="B94" s="29">
        <f>IFERROR(__xludf.DUMMYFUNCTION("IF(ISBLANK(D95),"""",MAX(FILTER({D95;F95;H95;J95;L95}, ISNUMBER({D95;F95;H95;J95;L95}))))"),45844.0)</f>
        <v>45844</v>
      </c>
      <c r="C94" s="30" t="s">
        <v>44</v>
      </c>
      <c r="D94" s="31"/>
      <c r="E94" s="30" t="s">
        <v>64</v>
      </c>
      <c r="F94" s="31"/>
      <c r="G94" s="30"/>
      <c r="H94" s="31"/>
      <c r="I94" s="30"/>
      <c r="J94" s="31"/>
      <c r="K94" s="30"/>
      <c r="L94" s="31"/>
    </row>
    <row r="95">
      <c r="A95" s="32"/>
      <c r="B95" s="33"/>
      <c r="C95" s="34">
        <v>45770.0</v>
      </c>
      <c r="D95" s="35">
        <v>45844.0</v>
      </c>
      <c r="E95" s="34">
        <v>46182.0</v>
      </c>
      <c r="F95" s="35"/>
      <c r="G95" s="34"/>
      <c r="H95" s="35"/>
      <c r="I95" s="34"/>
      <c r="J95" s="35"/>
      <c r="K95" s="34"/>
      <c r="L95" s="35"/>
    </row>
    <row r="96">
      <c r="A96" s="28">
        <v>47.0</v>
      </c>
      <c r="B96" s="29">
        <f>IFERROR(__xludf.DUMMYFUNCTION("IF(ISBLANK(D97),"""",MAX(FILTER({D97;F97;H97;J97;L97}, ISNUMBER({D97;F97;H97;J97;L97}))))"),46133.0)</f>
        <v>46133</v>
      </c>
      <c r="C96" s="30" t="s">
        <v>37</v>
      </c>
      <c r="D96" s="31"/>
      <c r="E96" s="30"/>
      <c r="F96" s="31"/>
      <c r="G96" s="30"/>
      <c r="H96" s="31"/>
      <c r="I96" s="30"/>
      <c r="J96" s="31"/>
      <c r="K96" s="30"/>
      <c r="L96" s="31"/>
    </row>
    <row r="97">
      <c r="A97" s="32"/>
      <c r="B97" s="33"/>
      <c r="C97" s="34">
        <v>45797.0</v>
      </c>
      <c r="D97" s="35">
        <v>46133.0</v>
      </c>
      <c r="E97" s="34"/>
      <c r="F97" s="35"/>
      <c r="G97" s="34"/>
      <c r="H97" s="35"/>
      <c r="I97" s="34"/>
      <c r="J97" s="35"/>
      <c r="K97" s="34"/>
      <c r="L97" s="35"/>
    </row>
    <row r="98">
      <c r="A98" s="28">
        <v>48.0</v>
      </c>
      <c r="B98" s="29">
        <f>IFERROR(__xludf.DUMMYFUNCTION("IF(ISBLANK(D99),"""",MAX(FILTER({D99;F99;H99;J99;L99}, ISNUMBER({D99;F99;H99;J99;L99}))))"),46210.0)</f>
        <v>46210</v>
      </c>
      <c r="C98" s="30" t="s">
        <v>67</v>
      </c>
      <c r="D98" s="31"/>
      <c r="E98" s="30" t="s">
        <v>67</v>
      </c>
      <c r="F98" s="31"/>
      <c r="G98" s="30"/>
      <c r="H98" s="31"/>
      <c r="I98" s="30"/>
      <c r="J98" s="31"/>
      <c r="K98" s="30"/>
      <c r="L98" s="31"/>
    </row>
    <row r="99">
      <c r="A99" s="32"/>
      <c r="B99" s="33"/>
      <c r="C99" s="34">
        <v>45802.0</v>
      </c>
      <c r="D99" s="35">
        <v>45881.0</v>
      </c>
      <c r="E99" s="34">
        <v>46182.0</v>
      </c>
      <c r="F99" s="35">
        <v>46210.0</v>
      </c>
      <c r="G99" s="34"/>
      <c r="H99" s="35"/>
      <c r="I99" s="34"/>
      <c r="J99" s="35"/>
      <c r="K99" s="34"/>
      <c r="L99" s="35"/>
    </row>
    <row r="100">
      <c r="A100" s="28">
        <v>49.0</v>
      </c>
      <c r="B100" s="29" t="str">
        <f>IFERROR(__xludf.DUMMYFUNCTION("IF(ISBLANK(D101),"""",MAX(FILTER({D101;F101;H101;J101;L101}, ISNUMBER({D101;F101;H101;J101;L101}))))"),"")</f>
        <v/>
      </c>
      <c r="C100" s="30" t="s">
        <v>21</v>
      </c>
      <c r="D100" s="31"/>
      <c r="E100" s="30"/>
      <c r="F100" s="31"/>
      <c r="G100" s="30"/>
      <c r="H100" s="31"/>
      <c r="I100" s="30"/>
      <c r="J100" s="31"/>
      <c r="K100" s="30"/>
      <c r="L100" s="31"/>
    </row>
    <row r="101">
      <c r="A101" s="32"/>
      <c r="B101" s="33"/>
      <c r="C101" s="34">
        <v>45919.0</v>
      </c>
      <c r="D101" s="35"/>
      <c r="E101" s="34"/>
      <c r="F101" s="35"/>
      <c r="G101" s="34"/>
      <c r="H101" s="35"/>
      <c r="I101" s="34"/>
      <c r="J101" s="35"/>
      <c r="K101" s="34"/>
      <c r="L101" s="35"/>
    </row>
    <row r="102">
      <c r="A102" s="28">
        <v>50.0</v>
      </c>
      <c r="B102" s="29">
        <f>IFERROR(__xludf.DUMMYFUNCTION("IF(ISBLANK(D103),"""",MAX(FILTER({D103;F103;H103;J103;L103}, ISNUMBER({D103;F103;H103;J103;L103}))))"),46106.0)</f>
        <v>46106</v>
      </c>
      <c r="C102" s="30" t="s">
        <v>13</v>
      </c>
      <c r="D102" s="31"/>
      <c r="E102" s="30" t="s">
        <v>85</v>
      </c>
      <c r="F102" s="31"/>
      <c r="G102" s="30"/>
      <c r="H102" s="31"/>
      <c r="I102" s="30"/>
      <c r="J102" s="31"/>
      <c r="K102" s="30"/>
      <c r="L102" s="31"/>
    </row>
    <row r="103">
      <c r="A103" s="32"/>
      <c r="B103" s="33"/>
      <c r="C103" s="34">
        <v>45629.0</v>
      </c>
      <c r="D103" s="35">
        <v>45655.0</v>
      </c>
      <c r="E103" s="34">
        <v>45942.0</v>
      </c>
      <c r="F103" s="35">
        <v>46106.0</v>
      </c>
      <c r="G103" s="34"/>
      <c r="H103" s="35"/>
      <c r="I103" s="34"/>
      <c r="J103" s="35"/>
      <c r="K103" s="34"/>
      <c r="L103" s="35"/>
    </row>
    <row r="104">
      <c r="A104" s="28">
        <v>51.0</v>
      </c>
      <c r="B104" s="29">
        <f>IFERROR(__xludf.DUMMYFUNCTION("IF(ISBLANK(D105),"""",MAX(FILTER({D105;F105;H105;J105;L105}, ISNUMBER({D105;F105;H105;J105;L105}))))"),45893.0)</f>
        <v>45893</v>
      </c>
      <c r="C104" s="30" t="s">
        <v>64</v>
      </c>
      <c r="D104" s="31"/>
      <c r="E104" s="30" t="s">
        <v>73</v>
      </c>
      <c r="F104" s="31"/>
      <c r="G104" s="30"/>
      <c r="H104" s="31"/>
      <c r="I104" s="30"/>
      <c r="J104" s="31"/>
      <c r="K104" s="30"/>
      <c r="L104" s="31"/>
    </row>
    <row r="105">
      <c r="A105" s="32"/>
      <c r="B105" s="33"/>
      <c r="C105" s="34">
        <v>45871.0</v>
      </c>
      <c r="D105" s="35">
        <v>45893.0</v>
      </c>
      <c r="E105" s="34">
        <v>46182.0</v>
      </c>
      <c r="F105" s="35"/>
      <c r="G105" s="34"/>
      <c r="H105" s="35"/>
      <c r="I105" s="34"/>
      <c r="J105" s="35"/>
      <c r="K105" s="34"/>
      <c r="L105" s="35"/>
    </row>
    <row r="106">
      <c r="A106" s="28">
        <v>52.0</v>
      </c>
      <c r="B106" s="29">
        <f>IFERROR(__xludf.DUMMYFUNCTION("IF(ISBLANK(D107),"""",MAX(FILTER({D107;F107;H107;J107;L107}, ISNUMBER({D107;F107;H107;J107;L107}))))"),46149.0)</f>
        <v>46149</v>
      </c>
      <c r="C106" s="30" t="s">
        <v>67</v>
      </c>
      <c r="D106" s="31"/>
      <c r="E106" s="30" t="s">
        <v>13</v>
      </c>
      <c r="F106" s="31"/>
      <c r="G106" s="30" t="s">
        <v>49</v>
      </c>
      <c r="H106" s="31"/>
      <c r="I106" s="30"/>
      <c r="J106" s="31"/>
      <c r="K106" s="30"/>
      <c r="L106" s="31"/>
    </row>
    <row r="107">
      <c r="A107" s="32"/>
      <c r="B107" s="33"/>
      <c r="C107" s="34">
        <v>45802.0</v>
      </c>
      <c r="D107" s="35">
        <v>45881.0</v>
      </c>
      <c r="E107" s="34">
        <v>46109.0</v>
      </c>
      <c r="F107" s="35">
        <v>46149.0</v>
      </c>
      <c r="G107" s="34">
        <v>46275.0</v>
      </c>
      <c r="H107" s="35"/>
      <c r="I107" s="34"/>
      <c r="J107" s="35"/>
      <c r="K107" s="34"/>
      <c r="L107" s="35"/>
    </row>
    <row r="108">
      <c r="A108" s="28">
        <v>53.0</v>
      </c>
      <c r="B108" s="29">
        <f>IFERROR(__xludf.DUMMYFUNCTION("IF(ISBLANK(D109),"""",MAX(FILTER({D109;F109;H109;J109;L109}, ISNUMBER({D109;F109;H109;J109;L109}))))"),46130.0)</f>
        <v>46130</v>
      </c>
      <c r="C108" s="30" t="s">
        <v>37</v>
      </c>
      <c r="D108" s="31"/>
      <c r="E108" s="30" t="s">
        <v>49</v>
      </c>
      <c r="F108" s="31"/>
      <c r="G108" s="30"/>
      <c r="H108" s="31"/>
      <c r="I108" s="30"/>
      <c r="J108" s="31"/>
      <c r="K108" s="30"/>
      <c r="L108" s="31"/>
    </row>
    <row r="109">
      <c r="A109" s="32"/>
      <c r="B109" s="33"/>
      <c r="C109" s="34">
        <v>45634.0</v>
      </c>
      <c r="D109" s="35">
        <v>45776.0</v>
      </c>
      <c r="E109" s="34">
        <v>46063.0</v>
      </c>
      <c r="F109" s="35">
        <v>46130.0</v>
      </c>
      <c r="G109" s="34"/>
      <c r="H109" s="35"/>
      <c r="I109" s="34"/>
      <c r="J109" s="35"/>
      <c r="K109" s="34"/>
      <c r="L109" s="35"/>
    </row>
    <row r="110">
      <c r="A110" s="28">
        <v>54.0</v>
      </c>
      <c r="B110" s="29">
        <f>IFERROR(__xludf.DUMMYFUNCTION("IF(ISBLANK(D111),"""",MAX(FILTER({D111;F111;H111;J111;L111}, ISNUMBER({D111;F111;H111;J111;L111}))))"),46271.0)</f>
        <v>46271</v>
      </c>
      <c r="C110" s="30" t="s">
        <v>64</v>
      </c>
      <c r="D110" s="31"/>
      <c r="E110" s="30" t="s">
        <v>44</v>
      </c>
      <c r="F110" s="31"/>
      <c r="G110" s="30"/>
      <c r="H110" s="31"/>
      <c r="I110" s="30"/>
      <c r="J110" s="31"/>
      <c r="K110" s="30"/>
      <c r="L110" s="31"/>
    </row>
    <row r="111">
      <c r="A111" s="32"/>
      <c r="B111" s="33"/>
      <c r="C111" s="34">
        <v>45928.0</v>
      </c>
      <c r="D111" s="35">
        <v>45977.0</v>
      </c>
      <c r="E111" s="34">
        <v>46182.0</v>
      </c>
      <c r="F111" s="35">
        <v>46271.0</v>
      </c>
      <c r="G111" s="34"/>
      <c r="H111" s="35"/>
      <c r="I111" s="34"/>
      <c r="J111" s="35"/>
      <c r="K111" s="34"/>
      <c r="L111" s="35"/>
    </row>
    <row r="112">
      <c r="A112" s="28">
        <v>55.0</v>
      </c>
      <c r="B112" s="29">
        <f>IFERROR(__xludf.DUMMYFUNCTION("IF(ISBLANK(D113),"""",MAX(FILTER({D113;F113;H113;J113;L113}, ISNUMBER({D113;F113;H113;J113;L113}))))"),46273.0)</f>
        <v>46273</v>
      </c>
      <c r="C112" s="30" t="s">
        <v>59</v>
      </c>
      <c r="D112" s="31"/>
      <c r="E112" s="30" t="s">
        <v>56</v>
      </c>
      <c r="F112" s="31"/>
      <c r="G112" s="30" t="s">
        <v>11</v>
      </c>
      <c r="H112" s="31"/>
      <c r="I112" s="30" t="s">
        <v>11</v>
      </c>
      <c r="J112" s="31"/>
      <c r="K112" s="30"/>
      <c r="L112" s="31"/>
    </row>
    <row r="113">
      <c r="A113" s="32"/>
      <c r="B113" s="33"/>
      <c r="C113" s="34">
        <v>45482.0</v>
      </c>
      <c r="D113" s="35">
        <v>45482.0</v>
      </c>
      <c r="E113" s="46">
        <v>45787.0</v>
      </c>
      <c r="F113" s="35">
        <v>46001.0</v>
      </c>
      <c r="G113" s="34">
        <v>46036.0</v>
      </c>
      <c r="H113" s="35">
        <v>46273.0</v>
      </c>
      <c r="I113" s="34">
        <v>46273.0</v>
      </c>
      <c r="J113" s="35"/>
      <c r="K113" s="34"/>
      <c r="L113" s="35"/>
    </row>
    <row r="114">
      <c r="A114" s="28">
        <v>56.0</v>
      </c>
      <c r="B114" s="29">
        <f>IFERROR(__xludf.DUMMYFUNCTION("IF(ISBLANK(D115),"""",MAX(FILTER({D115;F115;H115;J115;L115}, ISNUMBER({D115;F115;H115;J115;L115}))))"),45981.0)</f>
        <v>45981</v>
      </c>
      <c r="C114" s="30" t="s">
        <v>52</v>
      </c>
      <c r="D114" s="31"/>
      <c r="E114" s="30" t="s">
        <v>73</v>
      </c>
      <c r="F114" s="31"/>
      <c r="G114" s="30"/>
      <c r="H114" s="31"/>
      <c r="I114" s="30"/>
      <c r="J114" s="31"/>
      <c r="K114" s="30"/>
      <c r="L114" s="31"/>
    </row>
    <row r="115">
      <c r="A115" s="32"/>
      <c r="B115" s="33"/>
      <c r="C115" s="34">
        <v>45935.0</v>
      </c>
      <c r="D115" s="35">
        <v>45981.0</v>
      </c>
      <c r="E115" s="34">
        <v>46182.0</v>
      </c>
      <c r="F115" s="35"/>
      <c r="G115" s="34"/>
      <c r="H115" s="35"/>
      <c r="I115" s="34"/>
      <c r="J115" s="35"/>
      <c r="K115" s="34"/>
      <c r="L115" s="35"/>
    </row>
    <row r="116">
      <c r="A116" s="28">
        <v>57.0</v>
      </c>
      <c r="B116" s="29">
        <f>IFERROR(__xludf.DUMMYFUNCTION("IF(ISBLANK(D117),"""",MAX(FILTER({D117;F117;H117;J117;L117}, ISNUMBER({D117;F117;H117;J117;L117}))))"),46236.0)</f>
        <v>46236</v>
      </c>
      <c r="C116" s="30" t="s">
        <v>85</v>
      </c>
      <c r="D116" s="31"/>
      <c r="E116" s="30" t="s">
        <v>52</v>
      </c>
      <c r="F116" s="31"/>
      <c r="G116" s="30"/>
      <c r="H116" s="31"/>
      <c r="I116" s="30"/>
      <c r="J116" s="31"/>
      <c r="K116" s="30"/>
      <c r="L116" s="31"/>
    </row>
    <row r="117">
      <c r="A117" s="32"/>
      <c r="B117" s="33"/>
      <c r="C117" s="34">
        <v>45683.0</v>
      </c>
      <c r="D117" s="35">
        <v>45727.0</v>
      </c>
      <c r="E117" s="34">
        <v>46193.0</v>
      </c>
      <c r="F117" s="35">
        <v>46236.0</v>
      </c>
      <c r="G117" s="34"/>
      <c r="H117" s="35"/>
      <c r="I117" s="34"/>
      <c r="J117" s="35"/>
      <c r="K117" s="34"/>
      <c r="L117" s="35"/>
    </row>
    <row r="118">
      <c r="A118" s="28">
        <v>58.0</v>
      </c>
      <c r="B118" s="29">
        <f>IFERROR(__xludf.DUMMYFUNCTION("IF(ISBLANK(D119),"""",MAX(FILTER({D119;F119;H119;J119;L119}, ISNUMBER({D119;F119;H119;J119;L119}))))"),45984.0)</f>
        <v>45984</v>
      </c>
      <c r="C118" s="30" t="s">
        <v>44</v>
      </c>
      <c r="D118" s="31"/>
      <c r="E118" s="30" t="s">
        <v>87</v>
      </c>
      <c r="F118" s="31"/>
      <c r="G118" s="30"/>
      <c r="H118" s="31"/>
      <c r="I118" s="30"/>
      <c r="J118" s="31"/>
      <c r="K118" s="30"/>
      <c r="L118" s="31"/>
    </row>
    <row r="119">
      <c r="A119" s="32"/>
      <c r="B119" s="33"/>
      <c r="C119" s="34">
        <v>45917.0</v>
      </c>
      <c r="D119" s="35">
        <v>45984.0</v>
      </c>
      <c r="E119" s="34">
        <v>46187.0</v>
      </c>
      <c r="F119" s="35"/>
      <c r="G119" s="34"/>
      <c r="H119" s="35"/>
      <c r="I119" s="34"/>
      <c r="J119" s="35"/>
      <c r="K119" s="34"/>
      <c r="L119" s="35"/>
    </row>
    <row r="120">
      <c r="A120" s="28">
        <v>59.0</v>
      </c>
      <c r="B120" s="29">
        <f>IFERROR(__xludf.DUMMYFUNCTION("IF(ISBLANK(D121),"""",MAX(FILTER({D121;F121;H121;J121;L121}, ISNUMBER({D121;F121;H121;J121;L121}))))"),45888.0)</f>
        <v>45888</v>
      </c>
      <c r="C120" s="30" t="s">
        <v>85</v>
      </c>
      <c r="D120" s="31"/>
      <c r="E120" s="30" t="s">
        <v>87</v>
      </c>
      <c r="F120" s="31"/>
      <c r="G120" s="30"/>
      <c r="H120" s="31"/>
      <c r="I120" s="30"/>
      <c r="J120" s="31"/>
      <c r="K120" s="30"/>
      <c r="L120" s="31"/>
    </row>
    <row r="121">
      <c r="A121" s="32"/>
      <c r="B121" s="33"/>
      <c r="C121" s="34">
        <v>45818.0</v>
      </c>
      <c r="D121" s="35">
        <v>45888.0</v>
      </c>
      <c r="E121" s="34">
        <v>46187.0</v>
      </c>
      <c r="F121" s="35"/>
      <c r="G121" s="34"/>
      <c r="H121" s="35"/>
      <c r="I121" s="34"/>
      <c r="J121" s="35"/>
      <c r="K121" s="34"/>
      <c r="L121" s="35"/>
    </row>
    <row r="122">
      <c r="A122" s="28">
        <v>60.0</v>
      </c>
      <c r="B122" s="29">
        <f>IFERROR(__xludf.DUMMYFUNCTION("IF(ISBLANK(D123),"""",MAX(FILTER({D123;F123;H123;J123;L123}, ISNUMBER({D123;F123;H123;J123;L123}))))"),46106.0)</f>
        <v>46106</v>
      </c>
      <c r="C122" s="30" t="s">
        <v>64</v>
      </c>
      <c r="D122" s="31"/>
      <c r="E122" s="30" t="s">
        <v>87</v>
      </c>
      <c r="F122" s="31"/>
      <c r="G122" s="30"/>
      <c r="H122" s="31"/>
      <c r="I122" s="30"/>
      <c r="J122" s="31"/>
      <c r="K122" s="30"/>
      <c r="L122" s="31"/>
    </row>
    <row r="123">
      <c r="A123" s="32"/>
      <c r="B123" s="33"/>
      <c r="C123" s="34">
        <v>45692.0</v>
      </c>
      <c r="D123" s="35">
        <v>45727.0</v>
      </c>
      <c r="E123" s="34">
        <v>45961.0</v>
      </c>
      <c r="F123" s="35">
        <v>46106.0</v>
      </c>
      <c r="G123" s="34"/>
      <c r="H123" s="35"/>
      <c r="I123" s="34"/>
      <c r="J123" s="35"/>
      <c r="K123" s="34"/>
      <c r="L123" s="35"/>
    </row>
    <row r="124">
      <c r="A124" s="28">
        <v>61.0</v>
      </c>
      <c r="B124" s="29">
        <f>IFERROR(__xludf.DUMMYFUNCTION("IF(ISBLANK(D125),"""",MAX(FILTER({D125;F125;H125;J125;L125}, ISNUMBER({D125;F125;H125;J125;L125}))))"),45865.0)</f>
        <v>45865</v>
      </c>
      <c r="C124" s="30" t="s">
        <v>87</v>
      </c>
      <c r="D124" s="31"/>
      <c r="E124" s="30" t="s">
        <v>87</v>
      </c>
      <c r="F124" s="31"/>
      <c r="G124" s="30"/>
      <c r="H124" s="31"/>
      <c r="I124" s="30"/>
      <c r="J124" s="31"/>
      <c r="K124" s="30"/>
      <c r="L124" s="31"/>
    </row>
    <row r="125">
      <c r="A125" s="32"/>
      <c r="B125" s="33"/>
      <c r="C125" s="34">
        <v>45746.0</v>
      </c>
      <c r="D125" s="35">
        <v>45865.0</v>
      </c>
      <c r="E125" s="34">
        <v>46187.0</v>
      </c>
      <c r="F125" s="35"/>
      <c r="G125" s="34"/>
      <c r="H125" s="35"/>
      <c r="I125" s="34"/>
      <c r="J125" s="35"/>
      <c r="K125" s="34"/>
      <c r="L125" s="35"/>
    </row>
    <row r="126">
      <c r="A126" s="28">
        <v>62.0</v>
      </c>
      <c r="B126" s="29">
        <f>IFERROR(__xludf.DUMMYFUNCTION("IF(ISBLANK(D127),"""",MAX(FILTER({D127;F127;H127;J127;L127}, ISNUMBER({D127;F127;H127;J127;L127}))))"),46210.0)</f>
        <v>46210</v>
      </c>
      <c r="C126" s="30" t="s">
        <v>21</v>
      </c>
      <c r="D126" s="31"/>
      <c r="E126" s="30" t="s">
        <v>67</v>
      </c>
      <c r="F126" s="31"/>
      <c r="G126" s="30"/>
      <c r="H126" s="31"/>
      <c r="I126" s="30"/>
      <c r="J126" s="31"/>
      <c r="K126" s="30"/>
      <c r="L126" s="31"/>
    </row>
    <row r="127">
      <c r="A127" s="32"/>
      <c r="B127" s="33"/>
      <c r="C127" s="34">
        <v>45732.0</v>
      </c>
      <c r="D127" s="35">
        <v>45732.0</v>
      </c>
      <c r="E127" s="34">
        <v>46135.0</v>
      </c>
      <c r="F127" s="35">
        <v>46210.0</v>
      </c>
      <c r="G127" s="34"/>
      <c r="H127" s="35"/>
      <c r="I127" s="34"/>
      <c r="J127" s="35"/>
      <c r="K127" s="34"/>
      <c r="L127" s="35"/>
    </row>
    <row r="128">
      <c r="A128" s="28">
        <v>63.0</v>
      </c>
      <c r="B128" s="29">
        <f>IFERROR(__xludf.DUMMYFUNCTION("IF(ISBLANK(D129),"""",MAX(FILTER({D129;F129;H129;J129;L129}, ISNUMBER({D129;F129;H129;J129;L129}))))"),45739.0)</f>
        <v>45739</v>
      </c>
      <c r="C128" s="30" t="s">
        <v>85</v>
      </c>
      <c r="D128" s="31"/>
      <c r="E128" s="30"/>
      <c r="F128" s="31"/>
      <c r="G128" s="30"/>
      <c r="H128" s="31"/>
      <c r="I128" s="30"/>
      <c r="J128" s="31"/>
      <c r="K128" s="30"/>
      <c r="L128" s="31"/>
    </row>
    <row r="129">
      <c r="A129" s="32"/>
      <c r="B129" s="33"/>
      <c r="C129" s="34">
        <v>45692.0</v>
      </c>
      <c r="D129" s="35">
        <v>45739.0</v>
      </c>
      <c r="E129" s="34"/>
      <c r="F129" s="35"/>
      <c r="G129" s="34"/>
      <c r="H129" s="35"/>
      <c r="I129" s="34"/>
      <c r="J129" s="35"/>
      <c r="K129" s="34"/>
      <c r="L129" s="35"/>
    </row>
    <row r="130">
      <c r="A130" s="28">
        <v>64.0</v>
      </c>
      <c r="B130" s="29">
        <f>IFERROR(__xludf.DUMMYFUNCTION("IF(ISBLANK(D131),"""",MAX(FILTER({D131;F131;H131;J131;L131}, ISNUMBER({D131;F131;H131;J131;L131}))))"),46186.0)</f>
        <v>46186</v>
      </c>
      <c r="C130" s="30" t="s">
        <v>47</v>
      </c>
      <c r="D130" s="31"/>
      <c r="E130" s="30" t="s">
        <v>87</v>
      </c>
      <c r="F130" s="31"/>
      <c r="G130" s="30" t="s">
        <v>49</v>
      </c>
      <c r="H130" s="31"/>
      <c r="I130" s="30"/>
      <c r="J130" s="31"/>
      <c r="K130" s="30"/>
      <c r="L130" s="31"/>
    </row>
    <row r="131">
      <c r="A131" s="32"/>
      <c r="B131" s="33"/>
      <c r="C131" s="34">
        <v>45720.0</v>
      </c>
      <c r="D131" s="35">
        <v>45748.0</v>
      </c>
      <c r="E131" s="34">
        <v>46162.0</v>
      </c>
      <c r="F131" s="35">
        <v>46186.0</v>
      </c>
      <c r="G131" s="34">
        <v>46275.0</v>
      </c>
      <c r="H131" s="35"/>
      <c r="I131" s="34"/>
      <c r="J131" s="35"/>
      <c r="K131" s="34"/>
      <c r="L131" s="35"/>
    </row>
    <row r="132">
      <c r="A132" s="28">
        <v>65.0</v>
      </c>
      <c r="B132" s="29">
        <f>IFERROR(__xludf.DUMMYFUNCTION("IF(ISBLANK(D133),"""",MAX(FILTER({D133;F133;H133;J133;L133}, ISNUMBER({D133;F133;H133;J133;L133}))))"),46271.0)</f>
        <v>46271</v>
      </c>
      <c r="C132" s="30" t="s">
        <v>96</v>
      </c>
      <c r="D132" s="31"/>
      <c r="E132" s="30" t="s">
        <v>38</v>
      </c>
      <c r="F132" s="31"/>
      <c r="G132" s="30" t="s">
        <v>38</v>
      </c>
      <c r="H132" s="31"/>
      <c r="I132" s="30"/>
      <c r="J132" s="31"/>
      <c r="K132" s="30"/>
      <c r="L132" s="31"/>
    </row>
    <row r="133">
      <c r="A133" s="32"/>
      <c r="B133" s="33"/>
      <c r="C133" s="34">
        <v>45746.0</v>
      </c>
      <c r="D133" s="35">
        <v>45828.0</v>
      </c>
      <c r="E133" s="34">
        <v>46215.0</v>
      </c>
      <c r="F133" s="35">
        <v>46271.0</v>
      </c>
      <c r="G133" s="34">
        <v>46271.0</v>
      </c>
      <c r="H133" s="35"/>
      <c r="I133" s="34"/>
      <c r="J133" s="35"/>
      <c r="K133" s="34"/>
      <c r="L133" s="35"/>
    </row>
    <row r="134">
      <c r="A134" s="28">
        <v>66.0</v>
      </c>
      <c r="B134" s="29">
        <f>IFERROR(__xludf.DUMMYFUNCTION("IF(ISBLANK(D135),"""",MAX(FILTER({D135;F135;H135;J135;L135}, ISNUMBER({D135;F135;H135;J135;L135}))))"),45991.0)</f>
        <v>45991</v>
      </c>
      <c r="C134" s="30" t="s">
        <v>49</v>
      </c>
      <c r="D134" s="31"/>
      <c r="E134" s="30" t="s">
        <v>49</v>
      </c>
      <c r="F134" s="31"/>
      <c r="G134" s="30"/>
      <c r="H134" s="31"/>
      <c r="I134" s="30"/>
      <c r="J134" s="31"/>
      <c r="K134" s="30"/>
      <c r="L134" s="31"/>
    </row>
    <row r="135">
      <c r="A135" s="32"/>
      <c r="B135" s="33"/>
      <c r="C135" s="34">
        <v>45888.0</v>
      </c>
      <c r="D135" s="35">
        <v>45991.0</v>
      </c>
      <c r="E135" s="34">
        <v>46215.0</v>
      </c>
      <c r="F135" s="35"/>
      <c r="G135" s="34"/>
      <c r="H135" s="35"/>
      <c r="I135" s="34"/>
      <c r="J135" s="35"/>
      <c r="K135" s="34"/>
      <c r="L135" s="35"/>
    </row>
    <row r="136">
      <c r="A136" s="28">
        <v>67.0</v>
      </c>
      <c r="B136" s="29" t="str">
        <f>IFERROR(__xludf.DUMMYFUNCTION("IF(ISBLANK(D137),"""",MAX(FILTER({D137;F137;H137;J137;L137}, ISNUMBER({D137;F137;H137;J137;L137}))))"),"")</f>
        <v/>
      </c>
      <c r="C136" s="30" t="s">
        <v>14</v>
      </c>
      <c r="D136" s="31"/>
      <c r="E136" s="30"/>
      <c r="F136" s="31"/>
      <c r="G136" s="30"/>
      <c r="H136" s="31"/>
      <c r="I136" s="30"/>
      <c r="J136" s="31"/>
      <c r="K136" s="30"/>
      <c r="L136" s="31"/>
    </row>
    <row r="137">
      <c r="A137" s="32"/>
      <c r="B137" s="33"/>
      <c r="C137" s="34">
        <v>45818.0</v>
      </c>
      <c r="D137" s="35"/>
      <c r="E137" s="34"/>
      <c r="F137" s="35"/>
      <c r="G137" s="34"/>
      <c r="H137" s="35"/>
      <c r="I137" s="34"/>
      <c r="J137" s="35"/>
      <c r="K137" s="34"/>
      <c r="L137" s="35"/>
    </row>
    <row r="138">
      <c r="A138" s="28">
        <v>68.0</v>
      </c>
      <c r="B138" s="29">
        <f>IFERROR(__xludf.DUMMYFUNCTION("IF(ISBLANK(D139),"""",MAX(FILTER({D139;F139;H139;J139;L139}, ISNUMBER({D139;F139;H139;J139;L139}))))"),45991.0)</f>
        <v>45991</v>
      </c>
      <c r="C138" s="30" t="s">
        <v>49</v>
      </c>
      <c r="D138" s="31"/>
      <c r="E138" s="30" t="s">
        <v>14</v>
      </c>
      <c r="F138" s="31"/>
      <c r="G138" s="30"/>
      <c r="H138" s="31"/>
      <c r="I138" s="30"/>
      <c r="J138" s="31"/>
      <c r="K138" s="30"/>
      <c r="L138" s="31"/>
    </row>
    <row r="139">
      <c r="A139" s="32"/>
      <c r="B139" s="33"/>
      <c r="C139" s="34">
        <v>45856.0</v>
      </c>
      <c r="D139" s="35">
        <v>45991.0</v>
      </c>
      <c r="E139" s="34">
        <v>46185.0</v>
      </c>
      <c r="F139" s="35"/>
      <c r="G139" s="34"/>
      <c r="H139" s="35"/>
      <c r="I139" s="34"/>
      <c r="J139" s="35"/>
      <c r="K139" s="34"/>
      <c r="L139" s="35"/>
    </row>
    <row r="140">
      <c r="A140" s="28">
        <v>69.0</v>
      </c>
      <c r="B140" s="29">
        <f>IFERROR(__xludf.DUMMYFUNCTION("IF(ISBLANK(D141),"""",MAX(FILTER({D141;F141;H141;J141;L141}, ISNUMBER({D141;F141;H141;J141;L141}))))"),46246.0)</f>
        <v>46246</v>
      </c>
      <c r="C140" s="30" t="s">
        <v>21</v>
      </c>
      <c r="D140" s="31"/>
      <c r="E140" s="30" t="s">
        <v>18</v>
      </c>
      <c r="F140" s="31"/>
      <c r="G140" s="30"/>
      <c r="H140" s="31"/>
      <c r="I140" s="30"/>
      <c r="J140" s="31"/>
      <c r="K140" s="30"/>
      <c r="L140" s="31"/>
    </row>
    <row r="141">
      <c r="A141" s="32"/>
      <c r="B141" s="33"/>
      <c r="C141" s="34">
        <v>45738.0</v>
      </c>
      <c r="D141" s="35">
        <v>45745.0</v>
      </c>
      <c r="E141" s="34">
        <v>46056.0</v>
      </c>
      <c r="F141" s="35">
        <v>46246.0</v>
      </c>
      <c r="G141" s="34"/>
      <c r="H141" s="35"/>
      <c r="I141" s="34"/>
      <c r="J141" s="35"/>
      <c r="K141" s="34"/>
      <c r="L141" s="35"/>
    </row>
    <row r="142">
      <c r="A142" s="28">
        <v>70.0</v>
      </c>
      <c r="B142" s="29">
        <f>IFERROR(__xludf.DUMMYFUNCTION("IF(ISBLANK(D143),"""",MAX(FILTER({D143;F143;H143;J143;L143}, ISNUMBER({D143;F143;H143;J143;L143}))))"),46001.0)</f>
        <v>46001</v>
      </c>
      <c r="C142" s="30" t="s">
        <v>47</v>
      </c>
      <c r="D142" s="31"/>
      <c r="E142" s="30"/>
      <c r="F142" s="31"/>
      <c r="G142" s="30"/>
      <c r="H142" s="31"/>
      <c r="I142" s="30"/>
      <c r="J142" s="31"/>
      <c r="K142" s="30"/>
      <c r="L142" s="31"/>
    </row>
    <row r="143">
      <c r="A143" s="32"/>
      <c r="B143" s="33"/>
      <c r="C143" s="34">
        <v>45897.0</v>
      </c>
      <c r="D143" s="35">
        <v>46001.0</v>
      </c>
      <c r="E143" s="34"/>
      <c r="F143" s="35"/>
      <c r="G143" s="34"/>
      <c r="H143" s="35"/>
      <c r="I143" s="34"/>
      <c r="J143" s="35"/>
      <c r="K143" s="34"/>
      <c r="L143" s="35"/>
    </row>
    <row r="144">
      <c r="A144" s="28">
        <v>71.0</v>
      </c>
      <c r="B144" s="29">
        <f>IFERROR(__xludf.DUMMYFUNCTION("IF(ISBLANK(D145),"""",MAX(FILTER({D145;F145;H145;J145;L145}, ISNUMBER({D145;F145;H145;J145;L145}))))"),45929.0)</f>
        <v>45929</v>
      </c>
      <c r="C144" s="30" t="s">
        <v>13</v>
      </c>
      <c r="D144" s="31"/>
      <c r="E144" s="30"/>
      <c r="F144" s="31"/>
      <c r="G144" s="30"/>
      <c r="H144" s="31"/>
      <c r="I144" s="30"/>
      <c r="J144" s="31"/>
      <c r="K144" s="30"/>
      <c r="L144" s="31"/>
    </row>
    <row r="145">
      <c r="A145" s="32"/>
      <c r="B145" s="33"/>
      <c r="C145" s="34">
        <v>45370.0</v>
      </c>
      <c r="D145" s="35">
        <v>45929.0</v>
      </c>
      <c r="E145" s="34"/>
      <c r="F145" s="35"/>
      <c r="G145" s="34"/>
      <c r="H145" s="35"/>
      <c r="I145" s="34"/>
      <c r="J145" s="35"/>
      <c r="K145" s="34"/>
      <c r="L145" s="35"/>
    </row>
    <row r="146">
      <c r="A146" s="28">
        <v>72.0</v>
      </c>
      <c r="B146" s="29">
        <f>IFERROR(__xludf.DUMMYFUNCTION("IF(ISBLANK(D147),"""",MAX(FILTER({D147;F147;H147;J147;L147}, ISNUMBER({D147;F147;H147;J147;L147}))))"),45900.0)</f>
        <v>45900</v>
      </c>
      <c r="C146" s="30" t="s">
        <v>87</v>
      </c>
      <c r="D146" s="31"/>
      <c r="E146" s="30" t="s">
        <v>67</v>
      </c>
      <c r="F146" s="31"/>
      <c r="G146" s="30"/>
      <c r="H146" s="31"/>
      <c r="I146" s="30"/>
      <c r="J146" s="31"/>
      <c r="K146" s="30"/>
      <c r="L146" s="31"/>
    </row>
    <row r="147">
      <c r="A147" s="32"/>
      <c r="B147" s="33"/>
      <c r="C147" s="34">
        <v>45759.0</v>
      </c>
      <c r="D147" s="35">
        <v>45900.0</v>
      </c>
      <c r="E147" s="34">
        <v>46210.0</v>
      </c>
      <c r="F147" s="35"/>
      <c r="G147" s="34"/>
      <c r="H147" s="35"/>
      <c r="I147" s="34"/>
      <c r="J147" s="35"/>
      <c r="K147" s="34"/>
      <c r="L147" s="35"/>
    </row>
    <row r="148">
      <c r="A148" s="28">
        <v>73.0</v>
      </c>
      <c r="B148" s="29">
        <f>IFERROR(__xludf.DUMMYFUNCTION("IF(ISBLANK(D149),"""",MAX(FILTER({D149;F149;H149;J149;L149}, ISNUMBER({D149;F149;H149;J149;L149}))))"),46000.0)</f>
        <v>46000</v>
      </c>
      <c r="C148" s="30" t="s">
        <v>38</v>
      </c>
      <c r="D148" s="31"/>
      <c r="E148" s="30" t="s">
        <v>67</v>
      </c>
      <c r="F148" s="31"/>
      <c r="G148" s="30"/>
      <c r="H148" s="31"/>
      <c r="I148" s="30"/>
      <c r="J148" s="31"/>
      <c r="K148" s="30"/>
      <c r="L148" s="31"/>
    </row>
    <row r="149">
      <c r="A149" s="32"/>
      <c r="B149" s="33"/>
      <c r="C149" s="34">
        <v>45937.0</v>
      </c>
      <c r="D149" s="35">
        <v>46000.0</v>
      </c>
      <c r="E149" s="34">
        <v>46135.0</v>
      </c>
      <c r="F149" s="35"/>
      <c r="G149" s="34"/>
      <c r="H149" s="35"/>
      <c r="I149" s="34"/>
      <c r="J149" s="35"/>
      <c r="K149" s="34"/>
      <c r="L149" s="35"/>
    </row>
    <row r="150">
      <c r="A150" s="28">
        <v>74.0</v>
      </c>
      <c r="B150" s="29" t="str">
        <f>IFERROR(__xludf.DUMMYFUNCTION("IF(ISBLANK(D151),"""",MAX(FILTER({D151;F151;H151;J151;L151}, ISNUMBER({D151;F151;H151;J151;L151}))))"),"")</f>
        <v/>
      </c>
      <c r="C150" s="30" t="s">
        <v>21</v>
      </c>
      <c r="D150" s="31"/>
      <c r="E150" s="30"/>
      <c r="F150" s="31"/>
      <c r="G150" s="30"/>
      <c r="H150" s="31"/>
      <c r="I150" s="30"/>
      <c r="J150" s="31"/>
      <c r="K150" s="30"/>
      <c r="L150" s="31"/>
    </row>
    <row r="151">
      <c r="A151" s="32"/>
      <c r="B151" s="33"/>
      <c r="C151" s="34">
        <v>45940.0</v>
      </c>
      <c r="D151" s="35"/>
      <c r="E151" s="34"/>
      <c r="F151" s="35"/>
      <c r="G151" s="34"/>
      <c r="H151" s="35"/>
      <c r="I151" s="34"/>
      <c r="J151" s="35"/>
      <c r="K151" s="34"/>
      <c r="L151" s="35"/>
    </row>
    <row r="152">
      <c r="A152" s="28">
        <v>75.0</v>
      </c>
      <c r="B152" s="29">
        <f>IFERROR(__xludf.DUMMYFUNCTION("IF(ISBLANK(D153),"""",MAX(FILTER({D153;F153;H153;J153;L153}, ISNUMBER({D153;F153;H153;J153;L153}))))"),45900.0)</f>
        <v>45900</v>
      </c>
      <c r="C152" s="30" t="s">
        <v>87</v>
      </c>
      <c r="D152" s="31"/>
      <c r="E152" s="30" t="s">
        <v>67</v>
      </c>
      <c r="F152" s="31"/>
      <c r="G152" s="30"/>
      <c r="H152" s="31"/>
      <c r="I152" s="30"/>
      <c r="J152" s="31"/>
      <c r="K152" s="30"/>
      <c r="L152" s="31"/>
    </row>
    <row r="153">
      <c r="A153" s="32"/>
      <c r="B153" s="33"/>
      <c r="C153" s="34">
        <v>45759.0</v>
      </c>
      <c r="D153" s="35">
        <v>45900.0</v>
      </c>
      <c r="E153" s="34">
        <v>46210.0</v>
      </c>
      <c r="F153" s="35"/>
      <c r="G153" s="34"/>
      <c r="H153" s="35"/>
      <c r="I153" s="34"/>
      <c r="J153" s="35"/>
      <c r="K153" s="34"/>
      <c r="L153" s="35"/>
    </row>
    <row r="154">
      <c r="A154" s="28">
        <v>76.0</v>
      </c>
      <c r="B154" s="29">
        <f>IFERROR(__xludf.DUMMYFUNCTION("IF(ISBLANK(D155),"""",MAX(FILTER({D155;F155;H155;J155;L155}, ISNUMBER({D155;F155;H155;J155;L155}))))"),45977.0)</f>
        <v>45977</v>
      </c>
      <c r="C154" s="30" t="s">
        <v>64</v>
      </c>
      <c r="D154" s="31"/>
      <c r="E154" s="30" t="s">
        <v>67</v>
      </c>
      <c r="F154" s="31"/>
      <c r="G154" s="30"/>
      <c r="H154" s="31"/>
      <c r="I154" s="30"/>
      <c r="J154" s="31"/>
      <c r="K154" s="30"/>
      <c r="L154" s="31"/>
    </row>
    <row r="155">
      <c r="A155" s="32"/>
      <c r="B155" s="33"/>
      <c r="C155" s="34">
        <v>45928.0</v>
      </c>
      <c r="D155" s="35">
        <v>45977.0</v>
      </c>
      <c r="E155" s="34">
        <v>46210.0</v>
      </c>
      <c r="F155" s="35"/>
      <c r="G155" s="34"/>
      <c r="H155" s="35"/>
      <c r="I155" s="34"/>
      <c r="J155" s="35"/>
      <c r="K155" s="34"/>
      <c r="L155" s="35"/>
    </row>
    <row r="156">
      <c r="A156" s="28">
        <v>77.0</v>
      </c>
      <c r="B156" s="29" t="str">
        <f>IFERROR(__xludf.DUMMYFUNCTION("IF(ISBLANK(D157),"""",MAX(FILTER({D157;F157;H157;J157;L157}, ISNUMBER({D157;F157;H157;J157;L157}))))"),"")</f>
        <v/>
      </c>
      <c r="C156" s="30"/>
      <c r="D156" s="31"/>
      <c r="E156" s="30"/>
      <c r="F156" s="31"/>
      <c r="G156" s="30"/>
      <c r="H156" s="31"/>
      <c r="I156" s="30"/>
      <c r="J156" s="31"/>
      <c r="K156" s="30"/>
      <c r="L156" s="31"/>
    </row>
    <row r="157">
      <c r="A157" s="32"/>
      <c r="B157" s="33"/>
      <c r="C157" s="34"/>
      <c r="D157" s="35"/>
      <c r="E157" s="34"/>
      <c r="F157" s="35"/>
      <c r="G157" s="34"/>
      <c r="H157" s="35"/>
      <c r="I157" s="34"/>
      <c r="J157" s="35"/>
      <c r="K157" s="34"/>
      <c r="L157" s="35"/>
    </row>
    <row r="158">
      <c r="A158" s="28">
        <v>78.0</v>
      </c>
      <c r="B158" s="29" t="str">
        <f>IFERROR(__xludf.DUMMYFUNCTION("IF(ISBLANK(D159),"""",MAX(FILTER({D159;F159;H159;J159;L159}, ISNUMBER({D159;F159;H159;J159;L159}))))"),"")</f>
        <v/>
      </c>
      <c r="C158" s="30"/>
      <c r="D158" s="31"/>
      <c r="E158" s="30"/>
      <c r="F158" s="31"/>
      <c r="G158" s="30"/>
      <c r="H158" s="31"/>
      <c r="I158" s="30"/>
      <c r="J158" s="31"/>
      <c r="K158" s="30"/>
      <c r="L158" s="31"/>
    </row>
    <row r="159">
      <c r="A159" s="32"/>
      <c r="B159" s="33"/>
      <c r="C159" s="34"/>
      <c r="D159" s="35"/>
      <c r="E159" s="34"/>
      <c r="F159" s="35"/>
      <c r="G159" s="34"/>
      <c r="H159" s="35"/>
      <c r="I159" s="34"/>
      <c r="J159" s="35"/>
      <c r="K159" s="34"/>
      <c r="L159" s="35"/>
    </row>
    <row r="160">
      <c r="A160" s="28">
        <v>79.0</v>
      </c>
      <c r="B160" s="29" t="str">
        <f>IFERROR(__xludf.DUMMYFUNCTION("IF(ISBLANK(D161),"""",MAX(FILTER({D161;F161;H161;J161;L161}, ISNUMBER({D161;F161;H161;J161;L161}))))"),"")</f>
        <v/>
      </c>
      <c r="C160" s="30"/>
      <c r="D160" s="31"/>
      <c r="E160" s="30"/>
      <c r="F160" s="31"/>
      <c r="G160" s="30"/>
      <c r="H160" s="31"/>
      <c r="I160" s="30"/>
      <c r="J160" s="31"/>
      <c r="K160" s="30"/>
      <c r="L160" s="31"/>
    </row>
    <row r="161">
      <c r="A161" s="32"/>
      <c r="B161" s="33"/>
      <c r="C161" s="34"/>
      <c r="D161" s="35"/>
      <c r="E161" s="34"/>
      <c r="F161" s="35"/>
      <c r="G161" s="34"/>
      <c r="H161" s="35"/>
      <c r="I161" s="34"/>
      <c r="J161" s="35"/>
      <c r="K161" s="34"/>
      <c r="L161" s="35"/>
    </row>
    <row r="162">
      <c r="A162" s="28">
        <v>80.0</v>
      </c>
      <c r="B162" s="29" t="str">
        <f>IFERROR(__xludf.DUMMYFUNCTION("IF(ISBLANK(D163),"""",MAX(FILTER({D163;F163;H163;J163;L163}, ISNUMBER({D163;F163;H163;J163;L163}))))"),"")</f>
        <v/>
      </c>
      <c r="C162" s="30"/>
      <c r="D162" s="31"/>
      <c r="E162" s="30"/>
      <c r="F162" s="31"/>
      <c r="G162" s="30"/>
      <c r="H162" s="31"/>
      <c r="I162" s="30"/>
      <c r="J162" s="31"/>
      <c r="K162" s="30"/>
      <c r="L162" s="31"/>
    </row>
    <row r="163">
      <c r="A163" s="32"/>
      <c r="B163" s="33"/>
      <c r="C163" s="34"/>
      <c r="D163" s="35"/>
      <c r="E163" s="34"/>
      <c r="F163" s="35"/>
      <c r="G163" s="34"/>
      <c r="H163" s="35"/>
      <c r="I163" s="34"/>
      <c r="J163" s="35"/>
      <c r="K163" s="34"/>
      <c r="L163" s="35"/>
    </row>
    <row r="164">
      <c r="A164" s="28">
        <v>81.0</v>
      </c>
      <c r="B164" s="29" t="str">
        <f>IFERROR(__xludf.DUMMYFUNCTION("IF(ISBLANK(D165),"""",MAX(FILTER({D165;F165;H165;J165;L165}, ISNUMBER({D165;F165;H165;J165;L165}))))"),"")</f>
        <v/>
      </c>
      <c r="C164" s="30"/>
      <c r="D164" s="31"/>
      <c r="E164" s="30"/>
      <c r="F164" s="31"/>
      <c r="G164" s="30"/>
      <c r="H164" s="31"/>
      <c r="I164" s="30"/>
      <c r="J164" s="31"/>
      <c r="K164" s="30"/>
      <c r="L164" s="31"/>
    </row>
    <row r="165">
      <c r="A165" s="32"/>
      <c r="B165" s="33"/>
      <c r="C165" s="34"/>
      <c r="D165" s="35"/>
      <c r="E165" s="34"/>
      <c r="F165" s="35"/>
      <c r="G165" s="34"/>
      <c r="H165" s="35"/>
      <c r="I165" s="34"/>
      <c r="J165" s="35"/>
      <c r="K165" s="34"/>
      <c r="L165" s="35"/>
    </row>
    <row r="166">
      <c r="A166" s="28">
        <v>82.0</v>
      </c>
      <c r="B166" s="29" t="str">
        <f>IFERROR(__xludf.DUMMYFUNCTION("IF(ISBLANK(D167),"""",MAX(FILTER({D167;F167;H167;J167;L167}, ISNUMBER({D167;F167;H167;J167;L167}))))"),"")</f>
        <v/>
      </c>
      <c r="C166" s="30"/>
      <c r="D166" s="31"/>
      <c r="E166" s="30"/>
      <c r="F166" s="31"/>
      <c r="G166" s="30"/>
      <c r="H166" s="31"/>
      <c r="I166" s="30"/>
      <c r="J166" s="31"/>
      <c r="K166" s="30"/>
      <c r="L166" s="31"/>
    </row>
    <row r="167">
      <c r="A167" s="32"/>
      <c r="B167" s="33"/>
      <c r="C167" s="34"/>
      <c r="D167" s="35"/>
      <c r="E167" s="34"/>
      <c r="F167" s="35"/>
      <c r="G167" s="34"/>
      <c r="H167" s="35"/>
      <c r="I167" s="34"/>
      <c r="J167" s="35"/>
      <c r="K167" s="34"/>
      <c r="L167" s="35"/>
    </row>
    <row r="168">
      <c r="A168" s="28">
        <v>83.0</v>
      </c>
      <c r="B168" s="29" t="str">
        <f>IFERROR(__xludf.DUMMYFUNCTION("IF(ISBLANK(D169),"""",MAX(FILTER({D169;F169;H169;J169;L169}, ISNUMBER({D169;F169;H169;J169;L169}))))"),"")</f>
        <v/>
      </c>
      <c r="C168" s="30"/>
      <c r="D168" s="31"/>
      <c r="E168" s="30"/>
      <c r="F168" s="31"/>
      <c r="G168" s="30"/>
      <c r="H168" s="31"/>
      <c r="I168" s="30"/>
      <c r="J168" s="31"/>
      <c r="K168" s="30"/>
      <c r="L168" s="31"/>
    </row>
    <row r="169">
      <c r="A169" s="32"/>
      <c r="B169" s="33"/>
      <c r="C169" s="34"/>
      <c r="D169" s="35"/>
      <c r="E169" s="34"/>
      <c r="F169" s="35"/>
      <c r="G169" s="34"/>
      <c r="H169" s="35"/>
      <c r="I169" s="34"/>
      <c r="J169" s="35"/>
      <c r="K169" s="34"/>
      <c r="L169" s="35"/>
    </row>
    <row r="170">
      <c r="A170" s="28">
        <v>84.0</v>
      </c>
      <c r="B170" s="29" t="str">
        <f>IFERROR(__xludf.DUMMYFUNCTION("IF(ISBLANK(D171),"""",MAX(FILTER({D171;F171;H171;J171;L171}, ISNUMBER({D171;F171;H171;J171;L171}))))"),"")</f>
        <v/>
      </c>
      <c r="C170" s="30"/>
      <c r="D170" s="31"/>
      <c r="E170" s="30"/>
      <c r="F170" s="31"/>
      <c r="G170" s="30"/>
      <c r="H170" s="31"/>
      <c r="I170" s="30"/>
      <c r="J170" s="31"/>
      <c r="K170" s="30"/>
      <c r="L170" s="31"/>
    </row>
    <row r="171">
      <c r="A171" s="32"/>
      <c r="B171" s="33"/>
      <c r="C171" s="34"/>
      <c r="D171" s="35"/>
      <c r="E171" s="34"/>
      <c r="F171" s="35"/>
      <c r="G171" s="34"/>
      <c r="H171" s="35"/>
      <c r="I171" s="34"/>
      <c r="J171" s="35"/>
      <c r="K171" s="34"/>
      <c r="L171" s="35"/>
    </row>
    <row r="172">
      <c r="A172" s="28">
        <v>85.0</v>
      </c>
      <c r="B172" s="29" t="str">
        <f>IFERROR(__xludf.DUMMYFUNCTION("IF(ISBLANK(D173),"""",MAX(FILTER({D173;F173;H173;J173;L173}, ISNUMBER({D173;F173;H173;J173;L173}))))"),"")</f>
        <v/>
      </c>
      <c r="C172" s="30"/>
      <c r="D172" s="31"/>
      <c r="E172" s="30"/>
      <c r="F172" s="31"/>
      <c r="G172" s="30"/>
      <c r="H172" s="31"/>
      <c r="I172" s="30"/>
      <c r="J172" s="31"/>
      <c r="K172" s="30"/>
      <c r="L172" s="31"/>
    </row>
    <row r="173">
      <c r="A173" s="32"/>
      <c r="B173" s="33"/>
      <c r="C173" s="34"/>
      <c r="D173" s="35"/>
      <c r="E173" s="34"/>
      <c r="F173" s="35"/>
      <c r="G173" s="34"/>
      <c r="H173" s="35"/>
      <c r="I173" s="34"/>
      <c r="J173" s="35"/>
      <c r="K173" s="34"/>
      <c r="L173" s="35"/>
    </row>
    <row r="174">
      <c r="A174" s="28">
        <v>86.0</v>
      </c>
      <c r="B174" s="29" t="str">
        <f>IFERROR(__xludf.DUMMYFUNCTION("IF(ISBLANK(D175),"""",MAX(FILTER({D175;F175;H175;J175;L175}, ISNUMBER({D175;F175;H175;J175;L175}))))"),"")</f>
        <v/>
      </c>
      <c r="C174" s="30"/>
      <c r="D174" s="31"/>
      <c r="E174" s="30"/>
      <c r="F174" s="31"/>
      <c r="G174" s="30"/>
      <c r="H174" s="31"/>
      <c r="I174" s="30"/>
      <c r="J174" s="31"/>
      <c r="K174" s="30"/>
      <c r="L174" s="31"/>
    </row>
    <row r="175">
      <c r="A175" s="32"/>
      <c r="B175" s="33"/>
      <c r="C175" s="34"/>
      <c r="D175" s="35"/>
      <c r="E175" s="34"/>
      <c r="F175" s="35"/>
      <c r="G175" s="34"/>
      <c r="H175" s="35"/>
      <c r="I175" s="34"/>
      <c r="J175" s="35"/>
      <c r="K175" s="34"/>
      <c r="L175" s="35"/>
    </row>
    <row r="176">
      <c r="A176" s="28">
        <v>87.0</v>
      </c>
      <c r="B176" s="29" t="str">
        <f>IFERROR(__xludf.DUMMYFUNCTION("IF(ISBLANK(D177),"""",MAX(FILTER({D177;F177;H177;J177;L177}, ISNUMBER({D177;F177;H177;J177;L177}))))"),"")</f>
        <v/>
      </c>
      <c r="C176" s="30"/>
      <c r="D176" s="31"/>
      <c r="E176" s="30"/>
      <c r="F176" s="31"/>
      <c r="G176" s="30"/>
      <c r="H176" s="31"/>
      <c r="I176" s="30"/>
      <c r="J176" s="31"/>
      <c r="K176" s="30"/>
      <c r="L176" s="31"/>
    </row>
    <row r="177">
      <c r="A177" s="32"/>
      <c r="B177" s="33"/>
      <c r="C177" s="34"/>
      <c r="D177" s="35"/>
      <c r="E177" s="34"/>
      <c r="F177" s="35"/>
      <c r="G177" s="34"/>
      <c r="H177" s="35"/>
      <c r="I177" s="34"/>
      <c r="J177" s="35"/>
      <c r="K177" s="34"/>
      <c r="L177" s="35"/>
    </row>
    <row r="178">
      <c r="A178" s="28">
        <v>88.0</v>
      </c>
      <c r="B178" s="29" t="str">
        <f>IFERROR(__xludf.DUMMYFUNCTION("IF(ISBLANK(D179),"""",MAX(FILTER({D179;F179;H179;J179;L179}, ISNUMBER({D179;F179;H179;J179;L179}))))"),"")</f>
        <v/>
      </c>
      <c r="C178" s="30"/>
      <c r="D178" s="31"/>
      <c r="E178" s="30"/>
      <c r="F178" s="31"/>
      <c r="G178" s="30"/>
      <c r="H178" s="31"/>
      <c r="I178" s="30"/>
      <c r="J178" s="31"/>
      <c r="K178" s="30"/>
      <c r="L178" s="31"/>
    </row>
    <row r="179">
      <c r="A179" s="32"/>
      <c r="B179" s="33"/>
      <c r="C179" s="34"/>
      <c r="D179" s="35"/>
      <c r="E179" s="34"/>
      <c r="F179" s="35"/>
      <c r="G179" s="34"/>
      <c r="H179" s="35"/>
      <c r="I179" s="34"/>
      <c r="J179" s="35"/>
      <c r="K179" s="34"/>
      <c r="L179" s="35"/>
    </row>
    <row r="180">
      <c r="A180" s="28">
        <v>89.0</v>
      </c>
      <c r="B180" s="29" t="str">
        <f>IFERROR(__xludf.DUMMYFUNCTION("IF(ISBLANK(D181),"""",MAX(FILTER({D181;F181;H181;J181;L181}, ISNUMBER({D181;F181;H181;J181;L181}))))"),"")</f>
        <v/>
      </c>
      <c r="C180" s="30"/>
      <c r="D180" s="31"/>
      <c r="E180" s="30"/>
      <c r="F180" s="31"/>
      <c r="G180" s="30"/>
      <c r="H180" s="31"/>
      <c r="I180" s="30"/>
      <c r="J180" s="31"/>
      <c r="K180" s="30"/>
      <c r="L180" s="31"/>
    </row>
    <row r="181">
      <c r="A181" s="32"/>
      <c r="B181" s="33"/>
      <c r="C181" s="34"/>
      <c r="D181" s="35"/>
      <c r="E181" s="34"/>
      <c r="F181" s="35"/>
      <c r="G181" s="34"/>
      <c r="H181" s="35"/>
      <c r="I181" s="34"/>
      <c r="J181" s="35"/>
      <c r="K181" s="34"/>
      <c r="L181" s="35"/>
    </row>
    <row r="182">
      <c r="A182" s="28">
        <v>90.0</v>
      </c>
      <c r="B182" s="29" t="str">
        <f>IFERROR(__xludf.DUMMYFUNCTION("IF(ISBLANK(D183),"""",MAX(FILTER({D183;F183;H183;J183;L183}, ISNUMBER({D183;F183;H183;J183;L183}))))"),"")</f>
        <v/>
      </c>
      <c r="C182" s="30"/>
      <c r="D182" s="31"/>
      <c r="E182" s="30"/>
      <c r="F182" s="31"/>
      <c r="G182" s="30"/>
      <c r="H182" s="31"/>
      <c r="I182" s="30"/>
      <c r="J182" s="31"/>
      <c r="K182" s="30"/>
      <c r="L182" s="31"/>
    </row>
    <row r="183">
      <c r="A183" s="32"/>
      <c r="B183" s="33"/>
      <c r="C183" s="34"/>
      <c r="D183" s="35"/>
      <c r="E183" s="34"/>
      <c r="F183" s="35"/>
      <c r="G183" s="34"/>
      <c r="H183" s="35"/>
      <c r="I183" s="34"/>
      <c r="J183" s="35"/>
      <c r="K183" s="34"/>
      <c r="L183" s="35"/>
    </row>
    <row r="184">
      <c r="A184" s="28">
        <v>91.0</v>
      </c>
      <c r="B184" s="29">
        <f>IFERROR(__xludf.DUMMYFUNCTION("IF(ISBLANK(D185),"""",MAX(FILTER({D185;F185;H185;J185;L185}, ISNUMBER({D185;F185;H185;J185;L185}))))"),46180.0)</f>
        <v>46180</v>
      </c>
      <c r="C184" s="30" t="s">
        <v>13</v>
      </c>
      <c r="D184" s="31"/>
      <c r="E184" s="30" t="s">
        <v>64</v>
      </c>
      <c r="F184" s="31"/>
      <c r="G184" s="30"/>
      <c r="H184" s="31"/>
      <c r="I184" s="30"/>
      <c r="J184" s="31"/>
      <c r="K184" s="30"/>
      <c r="L184" s="31"/>
    </row>
    <row r="185">
      <c r="A185" s="32"/>
      <c r="B185" s="33"/>
      <c r="C185" s="34">
        <v>45759.0</v>
      </c>
      <c r="D185" s="35">
        <v>45776.0</v>
      </c>
      <c r="E185" s="34">
        <v>46107.0</v>
      </c>
      <c r="F185" s="35">
        <v>46180.0</v>
      </c>
      <c r="G185" s="34"/>
      <c r="H185" s="35"/>
      <c r="I185" s="34"/>
      <c r="J185" s="35"/>
      <c r="K185" s="34"/>
      <c r="L185" s="35"/>
    </row>
    <row r="186">
      <c r="A186" s="28">
        <v>92.0</v>
      </c>
      <c r="B186" s="29">
        <f>IFERROR(__xludf.DUMMYFUNCTION("IF(ISBLANK(D187),"""",MAX(FILTER({D187;F187;H187;J187;L187}, ISNUMBER({D187;F187;H187;J187;L187}))))"),46005.0)</f>
        <v>46005</v>
      </c>
      <c r="C186" s="30" t="s">
        <v>85</v>
      </c>
      <c r="D186" s="31"/>
      <c r="E186" s="30" t="s">
        <v>13</v>
      </c>
      <c r="F186" s="31"/>
      <c r="G186" s="30" t="s">
        <v>5</v>
      </c>
      <c r="H186" s="31"/>
      <c r="I186" s="30"/>
      <c r="J186" s="31"/>
      <c r="K186" s="30"/>
      <c r="L186" s="31"/>
    </row>
    <row r="187">
      <c r="A187" s="32"/>
      <c r="B187" s="33"/>
      <c r="C187" s="34">
        <v>45436.0</v>
      </c>
      <c r="D187" s="35">
        <v>45542.0</v>
      </c>
      <c r="E187" s="34">
        <v>45946.0</v>
      </c>
      <c r="F187" s="35">
        <v>46005.0</v>
      </c>
      <c r="G187" s="34">
        <v>46264.0</v>
      </c>
      <c r="H187" s="35"/>
      <c r="I187" s="34"/>
      <c r="J187" s="35"/>
      <c r="K187" s="34"/>
      <c r="L187" s="35"/>
    </row>
    <row r="188">
      <c r="A188" s="28">
        <v>93.0</v>
      </c>
      <c r="B188" s="29">
        <f>IFERROR(__xludf.DUMMYFUNCTION("IF(ISBLANK(D189),"""",MAX(FILTER({D189;F189;H189;J189;L189}, ISNUMBER({D189;F189;H189;J189;L189}))))"),46149.0)</f>
        <v>46149</v>
      </c>
      <c r="C188" s="30" t="s">
        <v>5</v>
      </c>
      <c r="D188" s="31"/>
      <c r="E188" s="30" t="s">
        <v>64</v>
      </c>
      <c r="F188" s="31"/>
      <c r="G188" s="30"/>
      <c r="H188" s="31"/>
      <c r="I188" s="30"/>
      <c r="J188" s="31"/>
      <c r="K188" s="30"/>
      <c r="L188" s="31"/>
    </row>
    <row r="189">
      <c r="A189" s="32"/>
      <c r="B189" s="33"/>
      <c r="C189" s="34">
        <v>45687.0</v>
      </c>
      <c r="D189" s="35">
        <v>45713.0</v>
      </c>
      <c r="E189" s="34">
        <v>46107.0</v>
      </c>
      <c r="F189" s="35">
        <v>46149.0</v>
      </c>
      <c r="G189" s="34"/>
      <c r="H189" s="35"/>
      <c r="I189" s="34"/>
      <c r="J189" s="35"/>
      <c r="K189" s="34"/>
      <c r="L189" s="35"/>
    </row>
    <row r="190">
      <c r="A190" s="28">
        <v>94.0</v>
      </c>
      <c r="B190" s="29">
        <f>IFERROR(__xludf.DUMMYFUNCTION("IF(ISBLANK(D191),"""",MAX(FILTER({D191;F191;H191;J191;L191}, ISNUMBER({D191;F191;H191;J191;L191}))))"),46180.0)</f>
        <v>46180</v>
      </c>
      <c r="C190" s="30" t="s">
        <v>87</v>
      </c>
      <c r="D190" s="31"/>
      <c r="E190" s="30" t="s">
        <v>64</v>
      </c>
      <c r="F190" s="31"/>
      <c r="G190" s="30"/>
      <c r="H190" s="31"/>
      <c r="I190" s="30"/>
      <c r="J190" s="31"/>
      <c r="K190" s="30"/>
      <c r="L190" s="31"/>
    </row>
    <row r="191">
      <c r="A191" s="32"/>
      <c r="B191" s="33"/>
      <c r="C191" s="34">
        <v>45695.0</v>
      </c>
      <c r="D191" s="35">
        <v>45739.0</v>
      </c>
      <c r="E191" s="34">
        <v>46107.0</v>
      </c>
      <c r="F191" s="35">
        <v>46180.0</v>
      </c>
      <c r="G191" s="34"/>
      <c r="H191" s="35"/>
      <c r="I191" s="34"/>
      <c r="J191" s="35"/>
      <c r="K191" s="34"/>
      <c r="L191" s="35"/>
    </row>
    <row r="192">
      <c r="A192" s="28">
        <v>95.0</v>
      </c>
      <c r="B192" s="29">
        <f>IFERROR(__xludf.DUMMYFUNCTION("IF(ISBLANK(D193),"""",MAX(FILTER({D193;F193;H193;J193;L193}, ISNUMBER({D193;F193;H193;J193;L193}))))"),45727.0)</f>
        <v>45727</v>
      </c>
      <c r="C192" s="30" t="s">
        <v>87</v>
      </c>
      <c r="D192" s="31"/>
      <c r="E192" s="30"/>
      <c r="F192" s="31"/>
      <c r="G192" s="30"/>
      <c r="H192" s="31"/>
      <c r="I192" s="30"/>
      <c r="J192" s="31"/>
      <c r="K192" s="30"/>
      <c r="L192" s="31"/>
    </row>
    <row r="193">
      <c r="A193" s="32"/>
      <c r="B193" s="33"/>
      <c r="C193" s="34">
        <v>45695.0</v>
      </c>
      <c r="D193" s="35">
        <v>45727.0</v>
      </c>
      <c r="E193" s="34"/>
      <c r="F193" s="35"/>
      <c r="G193" s="34"/>
      <c r="H193" s="35"/>
      <c r="I193" s="34"/>
      <c r="J193" s="35"/>
      <c r="K193" s="34"/>
      <c r="L193" s="35"/>
    </row>
    <row r="194">
      <c r="A194" s="28">
        <v>96.0</v>
      </c>
      <c r="B194" s="29">
        <f>IFERROR(__xludf.DUMMYFUNCTION("IF(ISBLANK(D195),"""",MAX(FILTER({D195;F195;H195;J195;L195}, ISNUMBER({D195;F195;H195;J195;L195}))))"),45727.0)</f>
        <v>45727</v>
      </c>
      <c r="C194" s="30" t="s">
        <v>87</v>
      </c>
      <c r="D194" s="31"/>
      <c r="E194" s="30" t="s">
        <v>84</v>
      </c>
      <c r="F194" s="31"/>
      <c r="G194" s="30"/>
      <c r="H194" s="31"/>
      <c r="I194" s="30"/>
      <c r="J194" s="31"/>
      <c r="K194" s="30"/>
      <c r="L194" s="31"/>
    </row>
    <row r="195">
      <c r="A195" s="32"/>
      <c r="B195" s="33"/>
      <c r="C195" s="34">
        <v>45695.0</v>
      </c>
      <c r="D195" s="35">
        <v>45727.0</v>
      </c>
      <c r="E195" s="34">
        <v>46224.0</v>
      </c>
      <c r="F195" s="35"/>
      <c r="G195" s="34"/>
      <c r="H195" s="35"/>
      <c r="I195" s="34"/>
      <c r="J195" s="35"/>
      <c r="K195" s="34"/>
      <c r="L195" s="35"/>
    </row>
    <row r="196">
      <c r="A196" s="28">
        <v>97.0</v>
      </c>
      <c r="B196" s="29" t="str">
        <f>IFERROR(__xludf.DUMMYFUNCTION("IF(ISBLANK(D197),"""",MAX(FILTER({D197;F197;H197;J197;L197}, ISNUMBER({D197;F197;H197;J197;L197}))))"),"")</f>
        <v/>
      </c>
      <c r="C196" s="30"/>
      <c r="D196" s="31"/>
      <c r="E196" s="30"/>
      <c r="F196" s="31"/>
      <c r="G196" s="30"/>
      <c r="H196" s="31"/>
      <c r="I196" s="30"/>
      <c r="J196" s="31"/>
      <c r="K196" s="30"/>
      <c r="L196" s="31"/>
    </row>
    <row r="197">
      <c r="A197" s="32"/>
      <c r="B197" s="33"/>
      <c r="C197" s="34"/>
      <c r="D197" s="35"/>
      <c r="E197" s="34"/>
      <c r="F197" s="35"/>
      <c r="G197" s="34"/>
      <c r="H197" s="35"/>
      <c r="I197" s="34"/>
      <c r="J197" s="35"/>
      <c r="K197" s="34"/>
      <c r="L197" s="35"/>
    </row>
    <row r="198">
      <c r="A198" s="28">
        <v>98.0</v>
      </c>
      <c r="B198" s="29" t="str">
        <f>IFERROR(__xludf.DUMMYFUNCTION("IF(ISBLANK(D199),"""",MAX(FILTER({D199;F199;H199;J199;L199}, ISNUMBER({D199;F199;H199;J199;L199}))))"),"")</f>
        <v/>
      </c>
      <c r="C198" s="30"/>
      <c r="D198" s="31"/>
      <c r="E198" s="30"/>
      <c r="F198" s="31"/>
      <c r="G198" s="30"/>
      <c r="H198" s="31"/>
      <c r="I198" s="30"/>
      <c r="J198" s="31"/>
      <c r="K198" s="30"/>
      <c r="L198" s="31"/>
    </row>
    <row r="199">
      <c r="A199" s="32"/>
      <c r="B199" s="33"/>
      <c r="C199" s="34"/>
      <c r="D199" s="35"/>
      <c r="E199" s="34"/>
      <c r="F199" s="35"/>
      <c r="G199" s="34"/>
      <c r="H199" s="35"/>
      <c r="I199" s="34"/>
      <c r="J199" s="35"/>
      <c r="K199" s="34"/>
      <c r="L199" s="35"/>
    </row>
    <row r="200">
      <c r="A200" s="28">
        <v>99.0</v>
      </c>
      <c r="B200" s="29" t="str">
        <f>IFERROR(__xludf.DUMMYFUNCTION("IF(ISBLANK(D201),"""",MAX(FILTER({D201;F201;H201;J201;L201}, ISNUMBER({D201;F201;H201;J201;L201}))))"),"")</f>
        <v/>
      </c>
      <c r="C200" s="30"/>
      <c r="D200" s="31"/>
      <c r="E200" s="30"/>
      <c r="F200" s="31"/>
      <c r="G200" s="30"/>
      <c r="H200" s="31"/>
      <c r="I200" s="30"/>
      <c r="J200" s="31"/>
      <c r="K200" s="30"/>
      <c r="L200" s="31"/>
    </row>
    <row r="201">
      <c r="A201" s="32"/>
      <c r="B201" s="33"/>
      <c r="C201" s="34"/>
      <c r="D201" s="35"/>
      <c r="E201" s="34"/>
      <c r="F201" s="35"/>
      <c r="G201" s="34"/>
      <c r="H201" s="35"/>
      <c r="I201" s="34"/>
      <c r="J201" s="35"/>
      <c r="K201" s="34"/>
      <c r="L201" s="35"/>
    </row>
    <row r="202">
      <c r="A202" s="28">
        <v>100.0</v>
      </c>
      <c r="B202" s="29" t="str">
        <f>IFERROR(__xludf.DUMMYFUNCTION("IF(ISBLANK(D203),"""",MAX(FILTER({D203;F203;H203;J203;L203}, ISNUMBER({D203;F203;H203;J203;L203}))))"),"")</f>
        <v/>
      </c>
      <c r="C202" s="30"/>
      <c r="D202" s="31"/>
      <c r="E202" s="30"/>
      <c r="F202" s="31"/>
      <c r="G202" s="30"/>
      <c r="H202" s="31"/>
      <c r="I202" s="30"/>
      <c r="J202" s="31"/>
      <c r="K202" s="30"/>
      <c r="L202" s="31"/>
    </row>
    <row r="203">
      <c r="A203" s="32"/>
      <c r="B203" s="33"/>
      <c r="C203" s="34"/>
      <c r="D203" s="35"/>
      <c r="E203" s="34"/>
      <c r="F203" s="35"/>
      <c r="G203" s="34"/>
      <c r="H203" s="35"/>
      <c r="I203" s="34"/>
      <c r="J203" s="35"/>
      <c r="K203" s="34"/>
      <c r="L203" s="35"/>
    </row>
    <row r="204">
      <c r="A204" s="28">
        <v>101.0</v>
      </c>
      <c r="B204" s="29">
        <f>IFERROR(__xludf.DUMMYFUNCTION("IF(ISBLANK(D205),"""",MAX(FILTER({D205;F205;H205;J205;L205}, ISNUMBER({D205;F205;H205;J205;L205}))))"),46122.0)</f>
        <v>46122</v>
      </c>
      <c r="C204" s="30" t="s">
        <v>97</v>
      </c>
      <c r="D204" s="31"/>
      <c r="E204" s="30" t="s">
        <v>84</v>
      </c>
      <c r="F204" s="31"/>
      <c r="G204" s="30"/>
      <c r="H204" s="31"/>
      <c r="I204" s="30"/>
      <c r="J204" s="31"/>
      <c r="K204" s="30"/>
      <c r="L204" s="31"/>
    </row>
    <row r="205">
      <c r="A205" s="32"/>
      <c r="B205" s="33"/>
      <c r="C205" s="34">
        <v>45597.0</v>
      </c>
      <c r="D205" s="35">
        <v>45597.0</v>
      </c>
      <c r="E205" s="34">
        <v>45977.0</v>
      </c>
      <c r="F205" s="35">
        <v>46122.0</v>
      </c>
      <c r="G205" s="34"/>
      <c r="H205" s="35"/>
      <c r="I205" s="34"/>
      <c r="J205" s="35"/>
      <c r="K205" s="34"/>
      <c r="L205" s="35"/>
    </row>
    <row r="206">
      <c r="A206" s="28">
        <v>102.0</v>
      </c>
      <c r="B206" s="29">
        <f>IFERROR(__xludf.DUMMYFUNCTION("IF(ISBLANK(D207),"""",MAX(FILTER({D207;F207;H207;J207;L207}, ISNUMBER({D207;F207;H207;J207;L207}))))"),46172.0)</f>
        <v>46172</v>
      </c>
      <c r="C206" s="30" t="s">
        <v>87</v>
      </c>
      <c r="D206" s="31"/>
      <c r="E206" s="30" t="s">
        <v>85</v>
      </c>
      <c r="F206" s="31"/>
      <c r="G206" s="30"/>
      <c r="H206" s="31"/>
      <c r="I206" s="30"/>
      <c r="J206" s="31"/>
      <c r="K206" s="30"/>
      <c r="L206" s="31"/>
    </row>
    <row r="207">
      <c r="A207" s="32"/>
      <c r="B207" s="33"/>
      <c r="C207" s="34">
        <v>45821.0</v>
      </c>
      <c r="D207" s="35">
        <v>45900.0</v>
      </c>
      <c r="E207" s="34">
        <v>46167.0</v>
      </c>
      <c r="F207" s="35">
        <v>46172.0</v>
      </c>
      <c r="G207" s="34"/>
      <c r="H207" s="35"/>
      <c r="I207" s="34"/>
      <c r="J207" s="35"/>
      <c r="K207" s="34"/>
      <c r="L207" s="35"/>
    </row>
    <row r="208">
      <c r="A208" s="28">
        <v>103.0</v>
      </c>
      <c r="B208" s="29">
        <f>IFERROR(__xludf.DUMMYFUNCTION("IF(ISBLANK(D209),"""",MAX(FILTER({D209;F209;H209;J209;L209}, ISNUMBER({D209;F209;H209;J209;L209}))))"),46229.0)</f>
        <v>46229</v>
      </c>
      <c r="C208" s="30" t="s">
        <v>45</v>
      </c>
      <c r="D208" s="31"/>
      <c r="E208" s="30" t="s">
        <v>64</v>
      </c>
      <c r="F208" s="31"/>
      <c r="G208" s="30"/>
      <c r="H208" s="31"/>
      <c r="I208" s="30"/>
      <c r="J208" s="31"/>
      <c r="K208" s="30"/>
      <c r="L208" s="31"/>
    </row>
    <row r="209">
      <c r="A209" s="32"/>
      <c r="B209" s="33"/>
      <c r="C209" s="34">
        <v>45821.0</v>
      </c>
      <c r="D209" s="35">
        <v>45881.0</v>
      </c>
      <c r="E209" s="34">
        <v>46187.0</v>
      </c>
      <c r="F209" s="35">
        <v>46229.0</v>
      </c>
      <c r="G209" s="34"/>
      <c r="H209" s="35"/>
      <c r="I209" s="34"/>
      <c r="J209" s="35"/>
      <c r="K209" s="34"/>
      <c r="L209" s="35"/>
    </row>
    <row r="210">
      <c r="A210" s="28">
        <v>104.0</v>
      </c>
      <c r="B210" s="29">
        <f>IFERROR(__xludf.DUMMYFUNCTION("IF(ISBLANK(D211),"""",MAX(FILTER({D211;F211;H211;J211;L211}, ISNUMBER({D211;F211;H211;J211;L211}))))"),46226.0)</f>
        <v>46226</v>
      </c>
      <c r="C210" s="30" t="s">
        <v>98</v>
      </c>
      <c r="D210" s="31"/>
      <c r="E210" s="30" t="s">
        <v>64</v>
      </c>
      <c r="F210" s="31"/>
      <c r="G210" s="30"/>
      <c r="H210" s="31"/>
      <c r="I210" s="30"/>
      <c r="J210" s="31"/>
      <c r="K210" s="30"/>
      <c r="L210" s="31"/>
    </row>
    <row r="211">
      <c r="A211" s="32"/>
      <c r="B211" s="33"/>
      <c r="C211" s="34">
        <v>45821.0</v>
      </c>
      <c r="D211" s="35">
        <v>45837.0</v>
      </c>
      <c r="E211" s="34">
        <v>46187.0</v>
      </c>
      <c r="F211" s="35">
        <v>46226.0</v>
      </c>
      <c r="G211" s="34"/>
      <c r="H211" s="35"/>
      <c r="I211" s="34"/>
      <c r="J211" s="35"/>
      <c r="K211" s="34"/>
      <c r="L211" s="35"/>
    </row>
    <row r="212">
      <c r="A212" s="28">
        <v>105.0</v>
      </c>
      <c r="B212" s="29">
        <f>IFERROR(__xludf.DUMMYFUNCTION("IF(ISBLANK(D213),"""",MAX(FILTER({D213;F213;H213;J213;L213}, ISNUMBER({D213;F213;H213;J213;L213}))))"),45978.0)</f>
        <v>45978</v>
      </c>
      <c r="C212" s="30" t="s">
        <v>87</v>
      </c>
      <c r="D212" s="31"/>
      <c r="E212" s="30"/>
      <c r="F212" s="31"/>
      <c r="G212" s="30"/>
      <c r="H212" s="31"/>
      <c r="I212" s="30"/>
      <c r="J212" s="31"/>
      <c r="K212" s="30"/>
      <c r="L212" s="31"/>
    </row>
    <row r="213">
      <c r="A213" s="32"/>
      <c r="B213" s="33"/>
      <c r="C213" s="34">
        <v>45832.0</v>
      </c>
      <c r="D213" s="35">
        <v>45978.0</v>
      </c>
      <c r="E213" s="34"/>
      <c r="F213" s="35"/>
      <c r="G213" s="34"/>
      <c r="H213" s="35"/>
      <c r="I213" s="34"/>
      <c r="J213" s="35"/>
      <c r="K213" s="34"/>
      <c r="L213" s="35"/>
    </row>
    <row r="214">
      <c r="A214" s="28">
        <v>106.0</v>
      </c>
      <c r="B214" s="29">
        <f>IFERROR(__xludf.DUMMYFUNCTION("IF(ISBLANK(D215),"""",MAX(FILTER({D215;F215;H215;J215;L215}, ISNUMBER({D215;F215;H215;J215;L215}))))"),45978.0)</f>
        <v>45978</v>
      </c>
      <c r="C214" s="30" t="s">
        <v>87</v>
      </c>
      <c r="D214" s="31"/>
      <c r="E214" s="30" t="s">
        <v>44</v>
      </c>
      <c r="F214" s="31"/>
      <c r="G214" s="30"/>
      <c r="H214" s="31"/>
      <c r="I214" s="30"/>
      <c r="J214" s="31"/>
      <c r="K214" s="30"/>
      <c r="L214" s="31"/>
    </row>
    <row r="215">
      <c r="A215" s="32"/>
      <c r="B215" s="33"/>
      <c r="C215" s="34">
        <v>45832.0</v>
      </c>
      <c r="D215" s="35">
        <v>45978.0</v>
      </c>
      <c r="E215" s="34">
        <v>46269.0</v>
      </c>
      <c r="F215" s="35"/>
      <c r="G215" s="34"/>
      <c r="H215" s="35"/>
      <c r="I215" s="34"/>
      <c r="J215" s="35"/>
      <c r="K215" s="34"/>
      <c r="L215" s="35"/>
    </row>
    <row r="216">
      <c r="A216" s="28">
        <v>107.0</v>
      </c>
      <c r="B216" s="29">
        <f>IFERROR(__xludf.DUMMYFUNCTION("IF(ISBLANK(D217),"""",MAX(FILTER({D217;F217;H217;J217;L217}, ISNUMBER({D217;F217;H217;J217;L217}))))"),46061.0)</f>
        <v>46061</v>
      </c>
      <c r="C216" s="30" t="s">
        <v>49</v>
      </c>
      <c r="D216" s="31"/>
      <c r="E216" s="30" t="s">
        <v>21</v>
      </c>
      <c r="F216" s="31"/>
      <c r="G216" s="30"/>
      <c r="H216" s="31"/>
      <c r="I216" s="30"/>
      <c r="J216" s="31"/>
      <c r="K216" s="30"/>
      <c r="L216" s="31"/>
    </row>
    <row r="217">
      <c r="A217" s="32"/>
      <c r="B217" s="33"/>
      <c r="C217" s="34">
        <v>45773.0</v>
      </c>
      <c r="D217" s="35">
        <v>45846.0</v>
      </c>
      <c r="E217" s="34">
        <v>46038.0</v>
      </c>
      <c r="F217" s="35">
        <v>46061.0</v>
      </c>
      <c r="G217" s="34"/>
      <c r="H217" s="35"/>
      <c r="I217" s="34"/>
      <c r="J217" s="35"/>
      <c r="K217" s="34"/>
      <c r="L217" s="35"/>
    </row>
    <row r="218">
      <c r="A218" s="28">
        <v>108.0</v>
      </c>
      <c r="B218" s="29">
        <f>IFERROR(__xludf.DUMMYFUNCTION("IF(ISBLANK(D219),"""",MAX(FILTER({D219;F219;H219;J219;L219}, ISNUMBER({D219;F219;H219;J219;L219}))))"),46226.0)</f>
        <v>46226</v>
      </c>
      <c r="C218" s="30" t="s">
        <v>11</v>
      </c>
      <c r="D218" s="31"/>
      <c r="E218" s="30" t="s">
        <v>64</v>
      </c>
      <c r="F218" s="31"/>
      <c r="G218" s="30"/>
      <c r="H218" s="31"/>
      <c r="I218" s="30"/>
      <c r="J218" s="31"/>
      <c r="K218" s="30"/>
      <c r="L218" s="31"/>
    </row>
    <row r="219">
      <c r="A219" s="32"/>
      <c r="B219" s="33"/>
      <c r="C219" s="34">
        <v>45536.0</v>
      </c>
      <c r="D219" s="35">
        <v>45647.0</v>
      </c>
      <c r="E219" s="34">
        <v>46187.0</v>
      </c>
      <c r="F219" s="35">
        <v>46226.0</v>
      </c>
      <c r="G219" s="34"/>
      <c r="H219" s="35"/>
      <c r="I219" s="34"/>
      <c r="J219" s="35"/>
      <c r="K219" s="34"/>
      <c r="L219" s="35"/>
    </row>
    <row r="220">
      <c r="A220" s="28">
        <v>109.0</v>
      </c>
      <c r="B220" s="29">
        <f>IFERROR(__xludf.DUMMYFUNCTION("IF(ISBLANK(D221),"""",MAX(FILTER({D221;F221;H221;J221;L221}, ISNUMBER({D221;F221;H221;J221;L221}))))"),46229.0)</f>
        <v>46229</v>
      </c>
      <c r="C220" s="30" t="s">
        <v>87</v>
      </c>
      <c r="D220" s="31"/>
      <c r="E220" s="30" t="s">
        <v>49</v>
      </c>
      <c r="F220" s="31"/>
      <c r="G220" s="30"/>
      <c r="H220" s="31"/>
      <c r="I220" s="30"/>
      <c r="J220" s="31"/>
      <c r="K220" s="30"/>
      <c r="L220" s="31"/>
    </row>
    <row r="221">
      <c r="A221" s="32"/>
      <c r="B221" s="33"/>
      <c r="C221" s="34">
        <v>45821.0</v>
      </c>
      <c r="D221" s="35">
        <v>45900.0</v>
      </c>
      <c r="E221" s="34">
        <v>46143.0</v>
      </c>
      <c r="F221" s="35">
        <v>46229.0</v>
      </c>
      <c r="G221" s="34"/>
      <c r="H221" s="35"/>
      <c r="I221" s="34"/>
      <c r="J221" s="35"/>
      <c r="K221" s="34"/>
      <c r="L221" s="35"/>
    </row>
    <row r="222">
      <c r="A222" s="28">
        <v>110.0</v>
      </c>
      <c r="B222" s="29">
        <f>IFERROR(__xludf.DUMMYFUNCTION("IF(ISBLANK(D223),"""",MAX(FILTER({D223;F223;H223;J223;L223}, ISNUMBER({D223;F223;H223;J223;L223}))))"),46274.0)</f>
        <v>46274</v>
      </c>
      <c r="C222" s="30" t="s">
        <v>85</v>
      </c>
      <c r="D222" s="31"/>
      <c r="E222" s="30" t="s">
        <v>13</v>
      </c>
      <c r="F222" s="31"/>
      <c r="G222" s="30" t="s">
        <v>85</v>
      </c>
      <c r="H222" s="31"/>
      <c r="I222" s="30"/>
      <c r="J222" s="31"/>
      <c r="K222" s="30"/>
      <c r="L222" s="31"/>
    </row>
    <row r="223">
      <c r="A223" s="32"/>
      <c r="B223" s="33"/>
      <c r="C223" s="34">
        <v>45597.0</v>
      </c>
      <c r="D223" s="35">
        <v>45646.0</v>
      </c>
      <c r="E223" s="34">
        <v>45946.0</v>
      </c>
      <c r="F223" s="35">
        <v>46005.0</v>
      </c>
      <c r="G223" s="34">
        <v>46223.0</v>
      </c>
      <c r="H223" s="35">
        <v>46274.0</v>
      </c>
      <c r="I223" s="34"/>
      <c r="J223" s="35"/>
      <c r="K223" s="34"/>
      <c r="L223" s="35"/>
    </row>
    <row r="224">
      <c r="A224" s="28">
        <v>111.0</v>
      </c>
      <c r="B224" s="29">
        <f>IFERROR(__xludf.DUMMYFUNCTION("IF(ISBLANK(D225),"""",MAX(FILTER({D225;F225;H225;J225;L225}, ISNUMBER({D225;F225;H225;J225;L225}))))"),45977.0)</f>
        <v>45977</v>
      </c>
      <c r="C224" s="30" t="s">
        <v>87</v>
      </c>
      <c r="D224" s="31"/>
      <c r="E224" s="30" t="s">
        <v>99</v>
      </c>
      <c r="F224" s="31"/>
      <c r="G224" s="30"/>
      <c r="H224" s="31"/>
      <c r="I224" s="30"/>
      <c r="J224" s="31"/>
      <c r="K224" s="30"/>
      <c r="L224" s="31"/>
    </row>
    <row r="225">
      <c r="A225" s="32"/>
      <c r="B225" s="33"/>
      <c r="C225" s="34">
        <v>45597.0</v>
      </c>
      <c r="D225" s="35">
        <v>45697.0</v>
      </c>
      <c r="E225" s="34">
        <v>45956.0</v>
      </c>
      <c r="F225" s="35">
        <v>45977.0</v>
      </c>
      <c r="G225" s="34"/>
      <c r="H225" s="35"/>
      <c r="I225" s="34"/>
      <c r="J225" s="35"/>
      <c r="K225" s="34"/>
      <c r="L225" s="35"/>
    </row>
    <row r="226">
      <c r="A226" s="28">
        <v>112.0</v>
      </c>
      <c r="B226" s="29">
        <f>IFERROR(__xludf.DUMMYFUNCTION("IF(ISBLANK(D227),"""",MAX(FILTER({D227;F227;H227;J227;L227}, ISNUMBER({D227;F227;H227;J227;L227}))))"),45900.0)</f>
        <v>45900</v>
      </c>
      <c r="C226" s="30" t="s">
        <v>87</v>
      </c>
      <c r="D226" s="31"/>
      <c r="E226" s="30" t="s">
        <v>64</v>
      </c>
      <c r="F226" s="31"/>
      <c r="G226" s="30"/>
      <c r="H226" s="31"/>
      <c r="I226" s="30"/>
      <c r="J226" s="31"/>
      <c r="K226" s="30"/>
      <c r="L226" s="31"/>
    </row>
    <row r="227">
      <c r="A227" s="32"/>
      <c r="B227" s="33"/>
      <c r="C227" s="34">
        <v>45832.0</v>
      </c>
      <c r="D227" s="35">
        <v>45900.0</v>
      </c>
      <c r="E227" s="34">
        <v>46226.0</v>
      </c>
      <c r="F227" s="35"/>
      <c r="G227" s="34"/>
      <c r="H227" s="35"/>
      <c r="I227" s="34"/>
      <c r="J227" s="35"/>
      <c r="K227" s="34"/>
      <c r="L227" s="35"/>
    </row>
    <row r="228">
      <c r="A228" s="28">
        <v>113.0</v>
      </c>
      <c r="B228" s="29">
        <f>IFERROR(__xludf.DUMMYFUNCTION("IF(ISBLANK(D229),"""",MAX(FILTER({D229;F229;H229;J229;L229}, ISNUMBER({D229;F229;H229;J229;L229}))))"),46215.0)</f>
        <v>46215</v>
      </c>
      <c r="C228" s="30" t="s">
        <v>87</v>
      </c>
      <c r="D228" s="31"/>
      <c r="E228" s="30" t="s">
        <v>49</v>
      </c>
      <c r="F228" s="31"/>
      <c r="G228" s="30"/>
      <c r="H228" s="31"/>
      <c r="I228" s="30"/>
      <c r="J228" s="31"/>
      <c r="K228" s="30"/>
      <c r="L228" s="31"/>
    </row>
    <row r="229">
      <c r="A229" s="32"/>
      <c r="B229" s="33"/>
      <c r="C229" s="34">
        <v>45832.0</v>
      </c>
      <c r="D229" s="35">
        <v>45900.0</v>
      </c>
      <c r="E229" s="34">
        <v>46143.0</v>
      </c>
      <c r="F229" s="35">
        <v>46215.0</v>
      </c>
      <c r="G229" s="34"/>
      <c r="H229" s="35"/>
      <c r="I229" s="34"/>
      <c r="J229" s="35"/>
      <c r="K229" s="34"/>
      <c r="L229" s="35"/>
    </row>
    <row r="230">
      <c r="A230" s="28">
        <v>114.0</v>
      </c>
      <c r="B230" s="29">
        <f>IFERROR(__xludf.DUMMYFUNCTION("IF(ISBLANK(D231),"""",MAX(FILTER({D231;F231;H231;J231;L231}, ISNUMBER({D231;F231;H231;J231;L231}))))"),46193.0)</f>
        <v>46193</v>
      </c>
      <c r="C230" s="30" t="s">
        <v>87</v>
      </c>
      <c r="D230" s="31"/>
      <c r="E230" s="30" t="s">
        <v>46</v>
      </c>
      <c r="F230" s="31"/>
      <c r="G230" s="30"/>
      <c r="H230" s="31"/>
      <c r="I230" s="30"/>
      <c r="J230" s="31"/>
      <c r="K230" s="30"/>
      <c r="L230" s="31"/>
    </row>
    <row r="231">
      <c r="A231" s="32"/>
      <c r="B231" s="33"/>
      <c r="C231" s="34">
        <v>45832.0</v>
      </c>
      <c r="D231" s="35">
        <v>45900.0</v>
      </c>
      <c r="E231" s="34">
        <v>46183.0</v>
      </c>
      <c r="F231" s="35">
        <v>46193.0</v>
      </c>
      <c r="G231" s="34"/>
      <c r="H231" s="35"/>
      <c r="I231" s="34"/>
      <c r="J231" s="35"/>
      <c r="K231" s="34"/>
      <c r="L231" s="35"/>
    </row>
    <row r="232">
      <c r="A232" s="28">
        <v>115.0</v>
      </c>
      <c r="B232" s="29">
        <f>IFERROR(__xludf.DUMMYFUNCTION("IF(ISBLANK(D233),"""",MAX(FILTER({D233;F233;H233;J233;L233}, ISNUMBER({D233;F233;H233;J233;L233}))))"),46149.0)</f>
        <v>46149</v>
      </c>
      <c r="C232" s="30" t="s">
        <v>87</v>
      </c>
      <c r="D232" s="31"/>
      <c r="E232" s="30" t="s">
        <v>13</v>
      </c>
      <c r="F232" s="31"/>
      <c r="G232" s="30"/>
      <c r="H232" s="31"/>
      <c r="I232" s="30"/>
      <c r="J232" s="31"/>
      <c r="K232" s="30"/>
      <c r="L232" s="31"/>
    </row>
    <row r="233">
      <c r="A233" s="32"/>
      <c r="B233" s="33"/>
      <c r="C233" s="34">
        <v>45821.0</v>
      </c>
      <c r="D233" s="35">
        <v>45900.0</v>
      </c>
      <c r="E233" s="34">
        <v>46082.0</v>
      </c>
      <c r="F233" s="35">
        <v>46149.0</v>
      </c>
      <c r="G233" s="34"/>
      <c r="H233" s="35"/>
      <c r="I233" s="34"/>
      <c r="J233" s="35"/>
      <c r="K233" s="34"/>
      <c r="L233" s="35"/>
    </row>
    <row r="234">
      <c r="A234" s="28">
        <v>116.0</v>
      </c>
      <c r="B234" s="29">
        <f>IFERROR(__xludf.DUMMYFUNCTION("IF(ISBLANK(D235),"""",MAX(FILTER({D235;F235;H235;J235;L235}, ISNUMBER({D235;F235;H235;J235;L235}))))"),46149.0)</f>
        <v>46149</v>
      </c>
      <c r="C234" s="30" t="s">
        <v>87</v>
      </c>
      <c r="D234" s="31"/>
      <c r="E234" s="30" t="s">
        <v>13</v>
      </c>
      <c r="F234" s="31"/>
      <c r="G234" s="30"/>
      <c r="H234" s="31"/>
      <c r="I234" s="30"/>
      <c r="J234" s="31"/>
      <c r="K234" s="30"/>
      <c r="L234" s="31"/>
    </row>
    <row r="235">
      <c r="A235" s="32"/>
      <c r="B235" s="33"/>
      <c r="C235" s="34">
        <v>45832.0</v>
      </c>
      <c r="D235" s="35">
        <v>45900.0</v>
      </c>
      <c r="E235" s="34">
        <v>46109.0</v>
      </c>
      <c r="F235" s="35">
        <v>46149.0</v>
      </c>
      <c r="G235" s="34"/>
      <c r="H235" s="35"/>
      <c r="I235" s="34"/>
      <c r="J235" s="35"/>
      <c r="K235" s="34"/>
      <c r="L235" s="35"/>
    </row>
    <row r="236">
      <c r="A236" s="28">
        <v>117.0</v>
      </c>
      <c r="B236" s="29">
        <f>IFERROR(__xludf.DUMMYFUNCTION("IF(ISBLANK(D237),"""",MAX(FILTER({D237;F237;H237;J237;L237}, ISNUMBER({D237;F237;H237;J237;L237}))))"),46274.0)</f>
        <v>46274</v>
      </c>
      <c r="C236" s="30" t="s">
        <v>86</v>
      </c>
      <c r="D236" s="31"/>
      <c r="E236" s="30" t="s">
        <v>59</v>
      </c>
      <c r="F236" s="31"/>
      <c r="G236" s="30"/>
      <c r="H236" s="31"/>
      <c r="I236" s="30"/>
      <c r="J236" s="31"/>
      <c r="K236" s="30"/>
      <c r="L236" s="31"/>
    </row>
    <row r="237">
      <c r="A237" s="32"/>
      <c r="B237" s="33"/>
      <c r="C237" s="34">
        <v>45830.0</v>
      </c>
      <c r="D237" s="35">
        <v>45881.0</v>
      </c>
      <c r="E237" s="34">
        <v>46184.0</v>
      </c>
      <c r="F237" s="35">
        <v>46274.0</v>
      </c>
      <c r="G237" s="34"/>
      <c r="H237" s="35"/>
      <c r="I237" s="34"/>
      <c r="J237" s="35"/>
      <c r="K237" s="34"/>
      <c r="L237" s="35"/>
    </row>
    <row r="238">
      <c r="A238" s="28">
        <v>118.0</v>
      </c>
      <c r="B238" s="29">
        <f>IFERROR(__xludf.DUMMYFUNCTION("IF(ISBLANK(D239),"""",MAX(FILTER({D239;F239;H239;J239;L239}, ISNUMBER({D239;F239;H239;J239;L239}))))"),46109.0)</f>
        <v>46109</v>
      </c>
      <c r="C238" s="30" t="s">
        <v>87</v>
      </c>
      <c r="D238" s="31"/>
      <c r="E238" s="30" t="s">
        <v>38</v>
      </c>
      <c r="F238" s="31"/>
      <c r="G238" s="30"/>
      <c r="H238" s="31"/>
      <c r="I238" s="30"/>
      <c r="J238" s="31"/>
      <c r="K238" s="30"/>
      <c r="L238" s="31"/>
    </row>
    <row r="239">
      <c r="A239" s="32"/>
      <c r="B239" s="33"/>
      <c r="C239" s="34">
        <v>45632.0</v>
      </c>
      <c r="D239" s="35">
        <v>45697.0</v>
      </c>
      <c r="E239" s="34">
        <v>45998.0</v>
      </c>
      <c r="F239" s="35">
        <v>46109.0</v>
      </c>
      <c r="G239" s="34"/>
      <c r="H239" s="35"/>
      <c r="I239" s="34"/>
      <c r="J239" s="35"/>
      <c r="K239" s="34"/>
      <c r="L239" s="35"/>
    </row>
    <row r="240">
      <c r="A240" s="28">
        <v>119.0</v>
      </c>
      <c r="B240" s="29">
        <f>IFERROR(__xludf.DUMMYFUNCTION("IF(ISBLANK(D241),"""",MAX(FILTER({D241;F241;H241;J241;L241}, ISNUMBER({D241;F241;H241;J241;L241}))))"),46149.0)</f>
        <v>46149</v>
      </c>
      <c r="C240" s="30" t="s">
        <v>86</v>
      </c>
      <c r="D240" s="31"/>
      <c r="E240" s="30" t="s">
        <v>13</v>
      </c>
      <c r="F240" s="31"/>
      <c r="G240" s="30"/>
      <c r="H240" s="31"/>
      <c r="I240" s="30"/>
      <c r="J240" s="31"/>
      <c r="K240" s="30"/>
      <c r="L240" s="31"/>
    </row>
    <row r="241">
      <c r="A241" s="32"/>
      <c r="B241" s="33"/>
      <c r="C241" s="34">
        <v>45830.0</v>
      </c>
      <c r="D241" s="35">
        <v>45881.0</v>
      </c>
      <c r="E241" s="34">
        <v>46082.0</v>
      </c>
      <c r="F241" s="35">
        <v>46149.0</v>
      </c>
      <c r="G241" s="34"/>
      <c r="H241" s="35"/>
      <c r="I241" s="34"/>
      <c r="J241" s="35"/>
      <c r="K241" s="34"/>
      <c r="L241" s="35"/>
    </row>
    <row r="242">
      <c r="A242" s="28">
        <v>120.0</v>
      </c>
      <c r="B242" s="29">
        <f>IFERROR(__xludf.DUMMYFUNCTION("IF(ISBLANK(D243),"""",MAX(FILTER({D243;F243;H243;J243;L243}, ISNUMBER({D243;F243;H243;J243;L243}))))"),46052.0)</f>
        <v>46052</v>
      </c>
      <c r="C242" s="30" t="s">
        <v>37</v>
      </c>
      <c r="D242" s="31"/>
      <c r="E242" s="30" t="s">
        <v>11</v>
      </c>
      <c r="F242" s="31"/>
      <c r="G242" s="30"/>
      <c r="H242" s="31"/>
      <c r="I242" s="30"/>
      <c r="J242" s="31"/>
      <c r="K242" s="30"/>
      <c r="L242" s="31"/>
    </row>
    <row r="243">
      <c r="A243" s="32"/>
      <c r="B243" s="33"/>
      <c r="C243" s="34">
        <v>45513.0</v>
      </c>
      <c r="D243" s="35">
        <v>45622.0</v>
      </c>
      <c r="E243" s="34">
        <v>46002.0</v>
      </c>
      <c r="F243" s="35">
        <v>46052.0</v>
      </c>
      <c r="G243" s="34"/>
      <c r="H243" s="35"/>
      <c r="I243" s="34"/>
      <c r="J243" s="35"/>
      <c r="K243" s="34"/>
      <c r="L243" s="35"/>
    </row>
    <row r="244">
      <c r="A244" s="28">
        <v>121.0</v>
      </c>
      <c r="B244" s="29">
        <f>IFERROR(__xludf.DUMMYFUNCTION("IF(ISBLANK(D245),"""",MAX(FILTER({D245;F245;H245;J245;L245}, ISNUMBER({D245;F245;H245;J245;L245}))))"),46210.0)</f>
        <v>46210</v>
      </c>
      <c r="C244" s="30" t="s">
        <v>87</v>
      </c>
      <c r="D244" s="31"/>
      <c r="E244" s="30" t="s">
        <v>67</v>
      </c>
      <c r="F244" s="31"/>
      <c r="G244" s="30" t="s">
        <v>52</v>
      </c>
      <c r="H244" s="31"/>
      <c r="I244" s="30"/>
      <c r="J244" s="31"/>
      <c r="K244" s="30"/>
      <c r="L244" s="31"/>
    </row>
    <row r="245">
      <c r="A245" s="32"/>
      <c r="B245" s="33"/>
      <c r="C245" s="34">
        <v>45771.0</v>
      </c>
      <c r="D245" s="35">
        <v>45929.0</v>
      </c>
      <c r="E245" s="34">
        <v>46187.0</v>
      </c>
      <c r="F245" s="35">
        <v>46210.0</v>
      </c>
      <c r="G245" s="34">
        <v>46236.0</v>
      </c>
      <c r="H245" s="35"/>
      <c r="I245" s="34"/>
      <c r="J245" s="35"/>
      <c r="K245" s="34"/>
      <c r="L245" s="35"/>
    </row>
    <row r="246">
      <c r="A246" s="28">
        <v>122.0</v>
      </c>
      <c r="B246" s="29">
        <f>IFERROR(__xludf.DUMMYFUNCTION("IF(ISBLANK(D247),"""",MAX(FILTER({D247;F247;H247;J247;L247}, ISNUMBER({D247;F247;H247;J247;L247}))))"),45937.0)</f>
        <v>45937</v>
      </c>
      <c r="C246" s="30" t="s">
        <v>38</v>
      </c>
      <c r="D246" s="31"/>
      <c r="E246" s="30" t="s">
        <v>47</v>
      </c>
      <c r="F246" s="31"/>
      <c r="G246" s="30"/>
      <c r="H246" s="31"/>
      <c r="I246" s="30"/>
      <c r="J246" s="31"/>
      <c r="K246" s="30"/>
      <c r="L246" s="31"/>
    </row>
    <row r="247">
      <c r="A247" s="32"/>
      <c r="B247" s="33"/>
      <c r="C247" s="34">
        <v>45853.0</v>
      </c>
      <c r="D247" s="35">
        <v>45937.0</v>
      </c>
      <c r="E247" s="34">
        <v>46215.0</v>
      </c>
      <c r="F247" s="35"/>
      <c r="G247" s="34"/>
      <c r="H247" s="35"/>
      <c r="I247" s="34"/>
      <c r="J247" s="35"/>
      <c r="K247" s="34"/>
      <c r="L247" s="35"/>
    </row>
    <row r="248">
      <c r="A248" s="28">
        <v>123.0</v>
      </c>
      <c r="B248" s="29">
        <f>IFERROR(__xludf.DUMMYFUNCTION("IF(ISBLANK(D249),"""",MAX(FILTER({D249;F249;H249;J249;L249}, ISNUMBER({D249;F249;H249;J249;L249}))))"),45930.0)</f>
        <v>45930</v>
      </c>
      <c r="C248" s="30" t="s">
        <v>85</v>
      </c>
      <c r="D248" s="31"/>
      <c r="E248" s="30" t="s">
        <v>45</v>
      </c>
      <c r="F248" s="31"/>
      <c r="G248" s="30"/>
      <c r="H248" s="31"/>
      <c r="I248" s="30"/>
      <c r="J248" s="31"/>
      <c r="K248" s="30"/>
      <c r="L248" s="31"/>
    </row>
    <row r="249">
      <c r="A249" s="32"/>
      <c r="B249" s="33"/>
      <c r="C249" s="34">
        <v>45632.0</v>
      </c>
      <c r="D249" s="35">
        <v>45930.0</v>
      </c>
      <c r="E249" s="34">
        <v>46226.0</v>
      </c>
      <c r="F249" s="35"/>
      <c r="G249" s="34"/>
      <c r="H249" s="35"/>
      <c r="I249" s="34"/>
      <c r="J249" s="35"/>
      <c r="K249" s="34"/>
      <c r="L249" s="35"/>
    </row>
    <row r="250">
      <c r="A250" s="28">
        <v>124.0</v>
      </c>
      <c r="B250" s="29">
        <f>IFERROR(__xludf.DUMMYFUNCTION("IF(ISBLANK(D251),"""",MAX(FILTER({D251;F251;H251;J251;L251}, ISNUMBER({D251;F251;H251;J251;L251}))))"),46245.0)</f>
        <v>46245</v>
      </c>
      <c r="C250" s="30" t="s">
        <v>13</v>
      </c>
      <c r="D250" s="31"/>
      <c r="E250" s="30" t="s">
        <v>85</v>
      </c>
      <c r="F250" s="31"/>
      <c r="G250" s="30"/>
      <c r="H250" s="31"/>
      <c r="I250" s="30"/>
      <c r="J250" s="31"/>
      <c r="K250" s="30"/>
      <c r="L250" s="31"/>
    </row>
    <row r="251">
      <c r="A251" s="32"/>
      <c r="B251" s="33"/>
      <c r="C251" s="34">
        <v>45822.0</v>
      </c>
      <c r="D251" s="35">
        <v>45886.0</v>
      </c>
      <c r="E251" s="34">
        <v>46221.0</v>
      </c>
      <c r="F251" s="35">
        <v>46245.0</v>
      </c>
      <c r="G251" s="34"/>
      <c r="H251" s="35"/>
      <c r="I251" s="34"/>
      <c r="J251" s="35"/>
      <c r="K251" s="34"/>
      <c r="L251" s="35"/>
    </row>
    <row r="252">
      <c r="A252" s="28">
        <v>125.0</v>
      </c>
      <c r="B252" s="29">
        <f>IFERROR(__xludf.DUMMYFUNCTION("IF(ISBLANK(D253),"""",MAX(FILTER({D253;F253;H253;J253;L253}, ISNUMBER({D253;F253;H253;J253;L253}))))"),45886.0)</f>
        <v>45886</v>
      </c>
      <c r="C252" s="30" t="s">
        <v>13</v>
      </c>
      <c r="D252" s="31"/>
      <c r="E252" s="30" t="s">
        <v>64</v>
      </c>
      <c r="F252" s="31"/>
      <c r="G252" s="30"/>
      <c r="H252" s="31"/>
      <c r="I252" s="30"/>
      <c r="J252" s="31"/>
      <c r="K252" s="30"/>
      <c r="L252" s="31"/>
    </row>
    <row r="253">
      <c r="A253" s="32"/>
      <c r="B253" s="33"/>
      <c r="C253" s="34">
        <v>45822.0</v>
      </c>
      <c r="D253" s="35">
        <v>45886.0</v>
      </c>
      <c r="E253" s="34">
        <v>46226.0</v>
      </c>
      <c r="F253" s="35"/>
      <c r="G253" s="34"/>
      <c r="H253" s="35"/>
      <c r="I253" s="34"/>
      <c r="J253" s="35"/>
      <c r="K253" s="34"/>
      <c r="L253" s="35"/>
    </row>
    <row r="254">
      <c r="A254" s="28">
        <v>126.0</v>
      </c>
      <c r="B254" s="29">
        <f>IFERROR(__xludf.DUMMYFUNCTION("IF(ISBLANK(D255),"""",MAX(FILTER({D255;F255;H255;J255;L255}, ISNUMBER({D255;F255;H255;J255;L255}))))"),46088.0)</f>
        <v>46088</v>
      </c>
      <c r="C254" s="30" t="s">
        <v>45</v>
      </c>
      <c r="D254" s="31"/>
      <c r="E254" s="30" t="s">
        <v>85</v>
      </c>
      <c r="F254" s="31"/>
      <c r="G254" s="30"/>
      <c r="H254" s="31"/>
      <c r="I254" s="30"/>
      <c r="J254" s="31"/>
      <c r="K254" s="30"/>
      <c r="L254" s="31"/>
    </row>
    <row r="255">
      <c r="A255" s="32"/>
      <c r="B255" s="33"/>
      <c r="C255" s="34">
        <v>45776.0</v>
      </c>
      <c r="D255" s="35">
        <v>45844.0</v>
      </c>
      <c r="E255" s="34">
        <v>46039.0</v>
      </c>
      <c r="F255" s="35">
        <v>46088.0</v>
      </c>
      <c r="G255" s="34"/>
      <c r="H255" s="35"/>
      <c r="I255" s="34"/>
      <c r="J255" s="35"/>
      <c r="K255" s="34"/>
      <c r="L255" s="35"/>
    </row>
    <row r="256">
      <c r="A256" s="28">
        <v>127.0</v>
      </c>
      <c r="B256" s="29">
        <f>IFERROR(__xludf.DUMMYFUNCTION("IF(ISBLANK(D257),"""",MAX(FILTER({D257;F257;H257;J257;L257}, ISNUMBER({D257;F257;H257;J257;L257}))))"),46109.0)</f>
        <v>46109</v>
      </c>
      <c r="C256" s="30" t="s">
        <v>67</v>
      </c>
      <c r="D256" s="31"/>
      <c r="E256" s="30"/>
      <c r="F256" s="31"/>
      <c r="G256" s="30"/>
      <c r="H256" s="31"/>
      <c r="I256" s="30"/>
      <c r="J256" s="31"/>
      <c r="K256" s="30"/>
      <c r="L256" s="31"/>
    </row>
    <row r="257">
      <c r="A257" s="32"/>
      <c r="B257" s="33"/>
      <c r="C257" s="34">
        <v>45853.0</v>
      </c>
      <c r="D257" s="35">
        <v>46109.0</v>
      </c>
      <c r="E257" s="34"/>
      <c r="F257" s="35"/>
      <c r="G257" s="34"/>
      <c r="H257" s="35"/>
      <c r="I257" s="34"/>
      <c r="J257" s="35"/>
      <c r="K257" s="34"/>
      <c r="L257" s="35"/>
    </row>
    <row r="258">
      <c r="A258" s="28">
        <v>128.0</v>
      </c>
      <c r="B258" s="29">
        <f>IFERROR(__xludf.DUMMYFUNCTION("IF(ISBLANK(D259),"""",MAX(FILTER({D259;F259;H259;J259;L259}, ISNUMBER({D259;F259;H259;J259;L259}))))"),46236.0)</f>
        <v>46236</v>
      </c>
      <c r="C258" s="30" t="s">
        <v>49</v>
      </c>
      <c r="D258" s="31"/>
      <c r="E258" s="30" t="s">
        <v>49</v>
      </c>
      <c r="F258" s="31"/>
      <c r="G258" s="30"/>
      <c r="H258" s="31"/>
      <c r="I258" s="30"/>
      <c r="J258" s="31"/>
      <c r="K258" s="30"/>
      <c r="L258" s="31"/>
    </row>
    <row r="259">
      <c r="A259" s="32"/>
      <c r="B259" s="33"/>
      <c r="C259" s="34">
        <v>45822.0</v>
      </c>
      <c r="D259" s="35">
        <v>45846.0</v>
      </c>
      <c r="E259" s="34">
        <v>46215.0</v>
      </c>
      <c r="F259" s="35">
        <v>46236.0</v>
      </c>
      <c r="G259" s="34"/>
      <c r="H259" s="35"/>
      <c r="I259" s="34"/>
      <c r="J259" s="35"/>
      <c r="K259" s="34"/>
      <c r="L259" s="35"/>
    </row>
    <row r="260">
      <c r="A260" s="28">
        <v>129.0</v>
      </c>
      <c r="B260" s="29">
        <f>IFERROR(__xludf.DUMMYFUNCTION("IF(ISBLANK(D261),"""",MAX(FILTER({D261;F261;H261;J261;L261}, ISNUMBER({D261;F261;H261;J261;L261}))))"),46109.0)</f>
        <v>46109</v>
      </c>
      <c r="C260" s="30" t="s">
        <v>85</v>
      </c>
      <c r="D260" s="31"/>
      <c r="E260" s="30" t="s">
        <v>85</v>
      </c>
      <c r="F260" s="31"/>
      <c r="G260" s="30"/>
      <c r="H260" s="31"/>
      <c r="I260" s="30"/>
      <c r="J260" s="31"/>
      <c r="K260" s="30"/>
      <c r="L260" s="31"/>
    </row>
    <row r="261">
      <c r="A261" s="32"/>
      <c r="B261" s="33"/>
      <c r="C261" s="34">
        <v>45776.0</v>
      </c>
      <c r="D261" s="35">
        <v>45837.0</v>
      </c>
      <c r="E261" s="34">
        <v>46091.0</v>
      </c>
      <c r="F261" s="35">
        <v>46109.0</v>
      </c>
      <c r="G261" s="34"/>
      <c r="H261" s="35"/>
      <c r="I261" s="34"/>
      <c r="J261" s="35"/>
      <c r="K261" s="34"/>
      <c r="L261" s="35"/>
    </row>
    <row r="262">
      <c r="A262" s="28">
        <v>130.0</v>
      </c>
      <c r="B262" s="29">
        <f>IFERROR(__xludf.DUMMYFUNCTION("IF(ISBLANK(D263),"""",MAX(FILTER({D263;F263;H263;J263;L263}, ISNUMBER({D263;F263;H263;J263;L263}))))"),46194.0)</f>
        <v>46194</v>
      </c>
      <c r="C262" s="30" t="s">
        <v>49</v>
      </c>
      <c r="D262" s="31"/>
      <c r="E262" s="30" t="s">
        <v>85</v>
      </c>
      <c r="F262" s="31"/>
      <c r="G262" s="30"/>
      <c r="H262" s="31"/>
      <c r="I262" s="30"/>
      <c r="J262" s="31"/>
      <c r="K262" s="30"/>
      <c r="L262" s="31"/>
    </row>
    <row r="263">
      <c r="A263" s="32"/>
      <c r="B263" s="33"/>
      <c r="C263" s="34">
        <v>45822.0</v>
      </c>
      <c r="D263" s="35">
        <v>45846.0</v>
      </c>
      <c r="E263" s="34">
        <v>46191.0</v>
      </c>
      <c r="F263" s="35">
        <v>46194.0</v>
      </c>
      <c r="G263" s="34"/>
      <c r="H263" s="35"/>
      <c r="I263" s="34"/>
      <c r="J263" s="35"/>
      <c r="K263" s="34"/>
      <c r="L263" s="35"/>
    </row>
    <row r="264">
      <c r="A264" s="28">
        <v>131.0</v>
      </c>
      <c r="B264" s="29">
        <f>IFERROR(__xludf.DUMMYFUNCTION("IF(ISBLANK(D265),"""",MAX(FILTER({D265;F265;H265;J265;L265}, ISNUMBER({D265;F265;H265;J265;L265}))))"),45804.0)</f>
        <v>45804</v>
      </c>
      <c r="C264" s="30" t="s">
        <v>85</v>
      </c>
      <c r="D264" s="31"/>
      <c r="E264" s="30"/>
      <c r="F264" s="31"/>
      <c r="G264" s="30"/>
      <c r="H264" s="31"/>
      <c r="I264" s="30"/>
      <c r="J264" s="31"/>
      <c r="K264" s="30"/>
      <c r="L264" s="31"/>
    </row>
    <row r="265">
      <c r="A265" s="32"/>
      <c r="B265" s="33"/>
      <c r="C265" s="34">
        <v>45776.0</v>
      </c>
      <c r="D265" s="35">
        <v>45804.0</v>
      </c>
      <c r="E265" s="34"/>
      <c r="F265" s="35"/>
      <c r="G265" s="34"/>
      <c r="H265" s="35"/>
      <c r="I265" s="34"/>
      <c r="J265" s="35"/>
      <c r="K265" s="34"/>
      <c r="L265" s="35"/>
    </row>
    <row r="266">
      <c r="A266" s="28">
        <v>132.0</v>
      </c>
      <c r="B266" s="29">
        <f>IFERROR(__xludf.DUMMYFUNCTION("IF(ISBLANK(D267),"""",MAX(FILTER({D267;F267;H267;J267;L267}, ISNUMBER({D267;F267;H267;J267;L267}))))"),46109.0)</f>
        <v>46109</v>
      </c>
      <c r="C266" s="30" t="s">
        <v>67</v>
      </c>
      <c r="D266" s="31"/>
      <c r="E266" s="30"/>
      <c r="F266" s="31"/>
      <c r="G266" s="30"/>
      <c r="H266" s="31"/>
      <c r="I266" s="30"/>
      <c r="J266" s="31"/>
      <c r="K266" s="30"/>
      <c r="L266" s="31"/>
    </row>
    <row r="267">
      <c r="A267" s="32"/>
      <c r="B267" s="33"/>
      <c r="C267" s="34">
        <v>45853.0</v>
      </c>
      <c r="D267" s="35">
        <v>46109.0</v>
      </c>
      <c r="E267" s="34"/>
      <c r="F267" s="35"/>
      <c r="G267" s="34"/>
      <c r="H267" s="35"/>
      <c r="I267" s="34"/>
      <c r="J267" s="35"/>
      <c r="K267" s="34"/>
      <c r="L267" s="35"/>
    </row>
    <row r="268">
      <c r="A268" s="28">
        <v>133.0</v>
      </c>
      <c r="B268" s="29">
        <f>IFERROR(__xludf.DUMMYFUNCTION("IF(ISBLANK(D269),"""",MAX(FILTER({D269;F269;H269;J269;L269}, ISNUMBER({D269;F269;H269;J269;L269}))))"),46246.0)</f>
        <v>46246</v>
      </c>
      <c r="C268" s="30" t="s">
        <v>49</v>
      </c>
      <c r="D268" s="31"/>
      <c r="E268" s="30" t="s">
        <v>85</v>
      </c>
      <c r="F268" s="31"/>
      <c r="G268" s="30"/>
      <c r="H268" s="31"/>
      <c r="I268" s="30"/>
      <c r="J268" s="31"/>
      <c r="K268" s="30"/>
      <c r="L268" s="31"/>
    </row>
    <row r="269">
      <c r="A269" s="32"/>
      <c r="B269" s="33"/>
      <c r="C269" s="34">
        <v>45856.0</v>
      </c>
      <c r="D269" s="35">
        <v>45991.0</v>
      </c>
      <c r="E269" s="34">
        <v>46213.0</v>
      </c>
      <c r="F269" s="35">
        <v>46246.0</v>
      </c>
      <c r="G269" s="34"/>
      <c r="H269" s="35"/>
      <c r="I269" s="34"/>
      <c r="J269" s="35"/>
      <c r="K269" s="34"/>
      <c r="L269" s="35"/>
    </row>
    <row r="270">
      <c r="A270" s="28">
        <v>134.0</v>
      </c>
      <c r="B270" s="29">
        <f>IFERROR(__xludf.DUMMYFUNCTION("IF(ISBLANK(D271),"""",MAX(FILTER({D271;F271;H271;J271;L271}, ISNUMBER({D271;F271;H271;J271;L271}))))"),46151.0)</f>
        <v>46151</v>
      </c>
      <c r="C270" s="30" t="s">
        <v>87</v>
      </c>
      <c r="D270" s="31"/>
      <c r="E270" s="30" t="s">
        <v>13</v>
      </c>
      <c r="F270" s="31"/>
      <c r="G270" s="30"/>
      <c r="H270" s="31"/>
      <c r="I270" s="30"/>
      <c r="J270" s="31"/>
      <c r="K270" s="30"/>
      <c r="L270" s="31"/>
    </row>
    <row r="271">
      <c r="A271" s="32"/>
      <c r="B271" s="33"/>
      <c r="C271" s="34">
        <v>45632.0</v>
      </c>
      <c r="D271" s="35">
        <v>45697.0</v>
      </c>
      <c r="E271" s="34">
        <v>46004.0</v>
      </c>
      <c r="F271" s="35">
        <v>46151.0</v>
      </c>
      <c r="G271" s="34"/>
      <c r="H271" s="35"/>
      <c r="I271" s="34"/>
      <c r="J271" s="35"/>
      <c r="K271" s="34"/>
      <c r="L271" s="35"/>
    </row>
    <row r="272">
      <c r="A272" s="28">
        <v>135.0</v>
      </c>
      <c r="B272" s="29" t="str">
        <f>IFERROR(__xludf.DUMMYFUNCTION("IF(ISBLANK(D273),"""",MAX(FILTER({D273;F273;H273;J273;L273}, ISNUMBER({D273;F273;H273;J273;L273}))))"),"")</f>
        <v/>
      </c>
      <c r="C272" s="30" t="s">
        <v>21</v>
      </c>
      <c r="D272" s="31"/>
      <c r="E272" s="30"/>
      <c r="F272" s="31"/>
      <c r="G272" s="30"/>
      <c r="H272" s="31"/>
      <c r="I272" s="30"/>
      <c r="J272" s="31"/>
      <c r="K272" s="30"/>
      <c r="L272" s="31"/>
    </row>
    <row r="273">
      <c r="A273" s="32"/>
      <c r="B273" s="33"/>
      <c r="C273" s="34">
        <v>45940.0</v>
      </c>
      <c r="D273" s="35"/>
      <c r="E273" s="34"/>
      <c r="F273" s="35"/>
      <c r="G273" s="34"/>
      <c r="H273" s="35"/>
      <c r="I273" s="34"/>
      <c r="J273" s="35"/>
      <c r="K273" s="34"/>
      <c r="L273" s="35"/>
    </row>
    <row r="274">
      <c r="A274" s="28">
        <v>136.0</v>
      </c>
      <c r="B274" s="29">
        <f>IFERROR(__xludf.DUMMYFUNCTION("IF(ISBLANK(D275),"""",MAX(FILTER({D275;F275;H275;J275;L275}, ISNUMBER({D275;F275;H275;J275;L275}))))"),45893.0)</f>
        <v>45893</v>
      </c>
      <c r="C274" s="30" t="s">
        <v>31</v>
      </c>
      <c r="D274" s="31"/>
      <c r="E274" s="30"/>
      <c r="F274" s="31"/>
      <c r="G274" s="30"/>
      <c r="H274" s="31"/>
      <c r="I274" s="30"/>
      <c r="J274" s="31"/>
      <c r="K274" s="30"/>
      <c r="L274" s="31"/>
    </row>
    <row r="275">
      <c r="A275" s="32"/>
      <c r="B275" s="33"/>
      <c r="C275" s="34">
        <v>45834.0</v>
      </c>
      <c r="D275" s="35">
        <v>45893.0</v>
      </c>
      <c r="E275" s="34"/>
      <c r="F275" s="35"/>
      <c r="G275" s="34"/>
      <c r="H275" s="35"/>
      <c r="I275" s="34"/>
      <c r="J275" s="35"/>
      <c r="K275" s="34"/>
      <c r="L275" s="35"/>
    </row>
    <row r="276">
      <c r="A276" s="28">
        <v>137.0</v>
      </c>
      <c r="B276" s="29">
        <f>IFERROR(__xludf.DUMMYFUNCTION("IF(ISBLANK(D277),"""",MAX(FILTER({D277;F277;H277;J277;L277}, ISNUMBER({D277;F277;H277;J277;L277}))))"),46186.0)</f>
        <v>46186</v>
      </c>
      <c r="C276" s="30" t="s">
        <v>31</v>
      </c>
      <c r="D276" s="31"/>
      <c r="E276" s="30" t="s">
        <v>85</v>
      </c>
      <c r="F276" s="31"/>
      <c r="G276" s="30"/>
      <c r="H276" s="31"/>
      <c r="I276" s="30"/>
      <c r="J276" s="31"/>
      <c r="K276" s="30"/>
      <c r="L276" s="31"/>
    </row>
    <row r="277">
      <c r="A277" s="32"/>
      <c r="B277" s="33"/>
      <c r="C277" s="34">
        <v>45915.0</v>
      </c>
      <c r="D277" s="35">
        <v>45977.0</v>
      </c>
      <c r="E277" s="34">
        <v>46151.0</v>
      </c>
      <c r="F277" s="35">
        <v>46186.0</v>
      </c>
      <c r="G277" s="34"/>
      <c r="H277" s="35"/>
      <c r="I277" s="34"/>
      <c r="J277" s="35"/>
      <c r="K277" s="34"/>
      <c r="L277" s="35"/>
    </row>
    <row r="278">
      <c r="A278" s="28">
        <v>138.0</v>
      </c>
      <c r="B278" s="29">
        <f>IFERROR(__xludf.DUMMYFUNCTION("IF(ISBLANK(D279),"""",MAX(FILTER({D279;F279;H279;J279;L279}, ISNUMBER({D279;F279;H279;J279;L279}))))"),46003.0)</f>
        <v>46003</v>
      </c>
      <c r="C278" s="30" t="s">
        <v>49</v>
      </c>
      <c r="D278" s="31"/>
      <c r="E278" s="30" t="s">
        <v>73</v>
      </c>
      <c r="F278" s="31"/>
      <c r="G278" s="30"/>
      <c r="H278" s="31"/>
      <c r="I278" s="30"/>
      <c r="J278" s="31"/>
      <c r="K278" s="30"/>
      <c r="L278" s="31"/>
    </row>
    <row r="279">
      <c r="A279" s="32"/>
      <c r="B279" s="33"/>
      <c r="C279" s="34">
        <v>45856.0</v>
      </c>
      <c r="D279" s="35">
        <v>46003.0</v>
      </c>
      <c r="E279" s="34">
        <v>46240.0</v>
      </c>
      <c r="F279" s="35"/>
      <c r="G279" s="34"/>
      <c r="H279" s="35"/>
      <c r="I279" s="34"/>
      <c r="J279" s="35"/>
      <c r="K279" s="34"/>
      <c r="L279" s="35"/>
    </row>
    <row r="280">
      <c r="A280" s="28">
        <v>139.0</v>
      </c>
      <c r="B280" s="29">
        <f>IFERROR(__xludf.DUMMYFUNCTION("IF(ISBLANK(D281),"""",MAX(FILTER({D281;F281;H281;J281;L281}, ISNUMBER({D281;F281;H281;J281;L281}))))"),45914.0)</f>
        <v>45914</v>
      </c>
      <c r="C280" s="30" t="s">
        <v>85</v>
      </c>
      <c r="D280" s="31"/>
      <c r="E280" s="30" t="s">
        <v>13</v>
      </c>
      <c r="F280" s="31"/>
      <c r="G280" s="30"/>
      <c r="H280" s="31"/>
      <c r="I280" s="30"/>
      <c r="J280" s="31"/>
      <c r="K280" s="30"/>
      <c r="L280" s="31"/>
    </row>
    <row r="281">
      <c r="A281" s="32"/>
      <c r="B281" s="33"/>
      <c r="C281" s="34">
        <v>45776.0</v>
      </c>
      <c r="D281" s="35">
        <v>45914.0</v>
      </c>
      <c r="E281" s="34">
        <v>46242.0</v>
      </c>
      <c r="F281" s="35"/>
      <c r="G281" s="34"/>
      <c r="H281" s="35"/>
      <c r="I281" s="34"/>
      <c r="J281" s="35"/>
      <c r="K281" s="34"/>
      <c r="L281" s="35"/>
    </row>
    <row r="282">
      <c r="A282" s="28">
        <v>140.0</v>
      </c>
      <c r="B282" s="29">
        <f>IFERROR(__xludf.DUMMYFUNCTION("IF(ISBLANK(D283),"""",MAX(FILTER({D283;F283;H283;J283;L283}, ISNUMBER({D283;F283;H283;J283;L283}))))"),45929.0)</f>
        <v>45929</v>
      </c>
      <c r="C282" s="30" t="s">
        <v>87</v>
      </c>
      <c r="D282" s="31"/>
      <c r="E282" s="30"/>
      <c r="F282" s="31"/>
      <c r="G282" s="30"/>
      <c r="H282" s="31"/>
      <c r="I282" s="30"/>
      <c r="J282" s="31"/>
      <c r="K282" s="30"/>
      <c r="L282" s="31"/>
    </row>
    <row r="283">
      <c r="A283" s="32"/>
      <c r="B283" s="33"/>
      <c r="C283" s="34">
        <v>45771.0</v>
      </c>
      <c r="D283" s="35">
        <v>45929.0</v>
      </c>
      <c r="E283" s="34"/>
      <c r="F283" s="35"/>
      <c r="G283" s="34"/>
      <c r="H283" s="35"/>
      <c r="I283" s="34"/>
      <c r="J283" s="35"/>
      <c r="K283" s="34"/>
      <c r="L283" s="35"/>
    </row>
    <row r="284">
      <c r="A284" s="28">
        <v>141.0</v>
      </c>
      <c r="B284" s="29">
        <f>IFERROR(__xludf.DUMMYFUNCTION("IF(ISBLANK(D285),"""",MAX(FILTER({D285;F285;H285;J285;L285}, ISNUMBER({D285;F285;H285;J285;L285}))))"),46148.0)</f>
        <v>46148</v>
      </c>
      <c r="C284" s="30" t="s">
        <v>21</v>
      </c>
      <c r="D284" s="31"/>
      <c r="E284" s="30" t="s">
        <v>85</v>
      </c>
      <c r="F284" s="31"/>
      <c r="G284" s="30"/>
      <c r="H284" s="31"/>
      <c r="I284" s="30"/>
      <c r="J284" s="31"/>
      <c r="K284" s="30"/>
      <c r="L284" s="31"/>
    </row>
    <row r="285">
      <c r="A285" s="32"/>
      <c r="B285" s="33"/>
      <c r="C285" s="34">
        <v>45783.0</v>
      </c>
      <c r="D285" s="35">
        <v>45865.0</v>
      </c>
      <c r="E285" s="34">
        <v>46101.0</v>
      </c>
      <c r="F285" s="35">
        <v>46148.0</v>
      </c>
      <c r="G285" s="34"/>
      <c r="H285" s="35"/>
      <c r="I285" s="34"/>
      <c r="J285" s="35"/>
      <c r="K285" s="34"/>
      <c r="L285" s="35"/>
    </row>
    <row r="286">
      <c r="A286" s="28">
        <v>142.0</v>
      </c>
      <c r="B286" s="29">
        <f>IFERROR(__xludf.DUMMYFUNCTION("IF(ISBLANK(D287),"""",MAX(FILTER({D287;F287;H287;J287;L287}, ISNUMBER({D287;F287;H287;J287;L287}))))"),46271.0)</f>
        <v>46271</v>
      </c>
      <c r="C286" s="30" t="s">
        <v>52</v>
      </c>
      <c r="D286" s="31"/>
      <c r="E286" s="30" t="s">
        <v>49</v>
      </c>
      <c r="F286" s="31"/>
      <c r="G286" s="30"/>
      <c r="H286" s="31"/>
      <c r="I286" s="30"/>
      <c r="J286" s="31"/>
      <c r="K286" s="30"/>
      <c r="L286" s="31"/>
    </row>
    <row r="287">
      <c r="A287" s="32"/>
      <c r="B287" s="33"/>
      <c r="C287" s="34">
        <v>45872.0</v>
      </c>
      <c r="D287" s="35">
        <v>45935.0</v>
      </c>
      <c r="E287" s="34">
        <v>46213.0</v>
      </c>
      <c r="F287" s="35">
        <v>46271.0</v>
      </c>
      <c r="G287" s="34"/>
      <c r="H287" s="35"/>
      <c r="I287" s="34"/>
      <c r="J287" s="35"/>
      <c r="K287" s="34"/>
      <c r="L287" s="35"/>
    </row>
    <row r="288">
      <c r="A288" s="28">
        <v>143.0</v>
      </c>
      <c r="B288" s="29">
        <f>IFERROR(__xludf.DUMMYFUNCTION("IF(ISBLANK(D289),"""",MAX(FILTER({D289;F289;H289;J289;L289}, ISNUMBER({D289;F289;H289;J289;L289}))))"),45900.0)</f>
        <v>45900</v>
      </c>
      <c r="C288" s="30" t="s">
        <v>85</v>
      </c>
      <c r="D288" s="31"/>
      <c r="E288" s="30"/>
      <c r="F288" s="31"/>
      <c r="G288" s="30"/>
      <c r="H288" s="31"/>
      <c r="I288" s="30"/>
      <c r="J288" s="31"/>
      <c r="K288" s="30"/>
      <c r="L288" s="31"/>
    </row>
    <row r="289">
      <c r="A289" s="32"/>
      <c r="B289" s="33"/>
      <c r="C289" s="34">
        <v>45851.0</v>
      </c>
      <c r="D289" s="35">
        <v>45900.0</v>
      </c>
      <c r="E289" s="34"/>
      <c r="F289" s="35"/>
      <c r="G289" s="34"/>
      <c r="H289" s="35"/>
      <c r="I289" s="34"/>
      <c r="J289" s="35"/>
      <c r="K289" s="34"/>
      <c r="L289" s="35"/>
    </row>
    <row r="290">
      <c r="A290" s="28">
        <v>144.0</v>
      </c>
      <c r="B290" s="29">
        <f>IFERROR(__xludf.DUMMYFUNCTION("IF(ISBLANK(D291),"""",MAX(FILTER({D291;F291;H291;J291;L291}, ISNUMBER({D291;F291;H291;J291;L291}))))"),46245.0)</f>
        <v>46245</v>
      </c>
      <c r="C290" s="30" t="s">
        <v>85</v>
      </c>
      <c r="D290" s="31"/>
      <c r="E290" s="30" t="s">
        <v>85</v>
      </c>
      <c r="F290" s="31"/>
      <c r="G290" s="30"/>
      <c r="H290" s="31"/>
      <c r="I290" s="30"/>
      <c r="J290" s="31"/>
      <c r="K290" s="30"/>
      <c r="L290" s="31"/>
    </row>
    <row r="291">
      <c r="A291" s="32"/>
      <c r="B291" s="33"/>
      <c r="C291" s="34">
        <v>45851.0</v>
      </c>
      <c r="D291" s="35">
        <v>45900.0</v>
      </c>
      <c r="E291" s="34">
        <v>46235.0</v>
      </c>
      <c r="F291" s="35">
        <v>46245.0</v>
      </c>
      <c r="G291" s="34"/>
      <c r="H291" s="35"/>
      <c r="I291" s="34"/>
      <c r="J291" s="35"/>
      <c r="K291" s="34"/>
      <c r="L291" s="35"/>
    </row>
    <row r="292">
      <c r="A292" s="28">
        <v>145.0</v>
      </c>
      <c r="B292" s="29">
        <f>IFERROR(__xludf.DUMMYFUNCTION("IF(ISBLANK(D293),"""",MAX(FILTER({D293;F293;H293;J293;L293}, ISNUMBER({D293;F293;H293;J293;L293}))))"),46106.0)</f>
        <v>46106</v>
      </c>
      <c r="C292" s="30" t="s">
        <v>85</v>
      </c>
      <c r="D292" s="31"/>
      <c r="E292" s="30" t="s">
        <v>87</v>
      </c>
      <c r="F292" s="31"/>
      <c r="G292" s="30"/>
      <c r="H292" s="31"/>
      <c r="I292" s="30"/>
      <c r="J292" s="31"/>
      <c r="K292" s="30"/>
      <c r="L292" s="31"/>
    </row>
    <row r="293">
      <c r="A293" s="32"/>
      <c r="B293" s="33"/>
      <c r="C293" s="34">
        <v>45776.0</v>
      </c>
      <c r="D293" s="35">
        <v>45837.0</v>
      </c>
      <c r="E293" s="34">
        <v>46356.0</v>
      </c>
      <c r="F293" s="35">
        <v>46106.0</v>
      </c>
      <c r="G293" s="34"/>
      <c r="H293" s="35"/>
      <c r="I293" s="34"/>
      <c r="J293" s="35"/>
      <c r="K293" s="34"/>
      <c r="L293" s="35"/>
    </row>
    <row r="294">
      <c r="A294" s="28">
        <v>146.0</v>
      </c>
      <c r="B294" s="29">
        <f>IFERROR(__xludf.DUMMYFUNCTION("IF(ISBLANK(D295),"""",MAX(FILTER({D295;F295;H295;J295;L295}, ISNUMBER({D295;F295;H295;J295;L295}))))"),45878.0)</f>
        <v>45878</v>
      </c>
      <c r="C294" s="30" t="s">
        <v>13</v>
      </c>
      <c r="D294" s="31"/>
      <c r="E294" s="30"/>
      <c r="F294" s="31"/>
      <c r="G294" s="30"/>
      <c r="H294" s="31"/>
      <c r="I294" s="30"/>
      <c r="J294" s="31"/>
      <c r="K294" s="30"/>
      <c r="L294" s="31"/>
    </row>
    <row r="295">
      <c r="A295" s="32"/>
      <c r="B295" s="33"/>
      <c r="C295" s="34">
        <v>45878.0</v>
      </c>
      <c r="D295" s="35">
        <v>45878.0</v>
      </c>
      <c r="E295" s="34"/>
      <c r="F295" s="35"/>
      <c r="G295" s="34"/>
      <c r="H295" s="35"/>
      <c r="I295" s="34"/>
      <c r="J295" s="35"/>
      <c r="K295" s="34"/>
      <c r="L295" s="35"/>
    </row>
    <row r="296">
      <c r="A296" s="28">
        <v>147.0</v>
      </c>
      <c r="B296" s="29">
        <f>IFERROR(__xludf.DUMMYFUNCTION("IF(ISBLANK(D297),"""",MAX(FILTER({D297;F297;H297;J297;L297}, ISNUMBER({D297;F297;H297;J297;L297}))))"),46277.0)</f>
        <v>46277</v>
      </c>
      <c r="C296" s="30" t="s">
        <v>79</v>
      </c>
      <c r="D296" s="31"/>
      <c r="E296" s="30"/>
      <c r="F296" s="31"/>
      <c r="G296" s="30"/>
      <c r="H296" s="31"/>
      <c r="I296" s="30"/>
      <c r="J296" s="31"/>
      <c r="K296" s="30"/>
      <c r="L296" s="31"/>
    </row>
    <row r="297">
      <c r="A297" s="32"/>
      <c r="B297" s="33"/>
      <c r="C297" s="34">
        <v>45451.0</v>
      </c>
      <c r="D297" s="35">
        <v>46277.0</v>
      </c>
      <c r="E297" s="34"/>
      <c r="F297" s="35"/>
      <c r="G297" s="34"/>
      <c r="H297" s="35"/>
      <c r="I297" s="34"/>
      <c r="J297" s="35"/>
      <c r="K297" s="34"/>
      <c r="L297" s="35"/>
    </row>
    <row r="298">
      <c r="A298" s="28">
        <v>148.0</v>
      </c>
      <c r="B298" s="29">
        <f>IFERROR(__xludf.DUMMYFUNCTION("IF(ISBLANK(D299),"""",MAX(FILTER({D299;F299;H299;J299;L299}, ISNUMBER({D299;F299;H299;J299;L299}))))"),46246.0)</f>
        <v>46246</v>
      </c>
      <c r="C298" s="30" t="s">
        <v>87</v>
      </c>
      <c r="D298" s="31"/>
      <c r="E298" s="30" t="s">
        <v>13</v>
      </c>
      <c r="F298" s="31"/>
      <c r="G298" s="30"/>
      <c r="H298" s="31"/>
      <c r="I298" s="30"/>
      <c r="J298" s="31"/>
      <c r="K298" s="30"/>
      <c r="L298" s="31"/>
    </row>
    <row r="299">
      <c r="A299" s="32"/>
      <c r="B299" s="33"/>
      <c r="C299" s="34">
        <v>45879.0</v>
      </c>
      <c r="D299" s="35">
        <v>45978.0</v>
      </c>
      <c r="E299" s="34">
        <v>46235.0</v>
      </c>
      <c r="F299" s="35">
        <v>46246.0</v>
      </c>
      <c r="G299" s="34"/>
      <c r="H299" s="35"/>
      <c r="I299" s="34"/>
      <c r="J299" s="35"/>
      <c r="K299" s="34"/>
      <c r="L299" s="35"/>
    </row>
    <row r="300">
      <c r="A300" s="28">
        <v>149.0</v>
      </c>
      <c r="B300" s="29">
        <f>IFERROR(__xludf.DUMMYFUNCTION("IF(ISBLANK(D301),"""",MAX(FILTER({D301;F301;H301;J301;L301}, ISNUMBER({D301;F301;H301;J301;L301}))))"),45930.0)</f>
        <v>45930</v>
      </c>
      <c r="C300" s="30" t="s">
        <v>13</v>
      </c>
      <c r="D300" s="31"/>
      <c r="E300" s="30"/>
      <c r="F300" s="31"/>
      <c r="G300" s="30"/>
      <c r="H300" s="31"/>
      <c r="I300" s="30"/>
      <c r="J300" s="31"/>
      <c r="K300" s="30"/>
      <c r="L300" s="31"/>
    </row>
    <row r="301">
      <c r="A301" s="32"/>
      <c r="B301" s="33"/>
      <c r="C301" s="34">
        <v>45888.0</v>
      </c>
      <c r="D301" s="35">
        <v>45930.0</v>
      </c>
      <c r="E301" s="34"/>
      <c r="F301" s="35"/>
      <c r="G301" s="34"/>
      <c r="H301" s="35"/>
      <c r="I301" s="34"/>
      <c r="J301" s="35"/>
      <c r="K301" s="34"/>
      <c r="L301" s="35"/>
    </row>
    <row r="302">
      <c r="A302" s="28">
        <v>150.0</v>
      </c>
      <c r="B302" s="29">
        <f>IFERROR(__xludf.DUMMYFUNCTION("IF(ISBLANK(D303),"""",MAX(FILTER({D303;F303;H303;J303;L303}, ISNUMBER({D303;F303;H303;J303;L303}))))"),46106.0)</f>
        <v>46106</v>
      </c>
      <c r="C302" s="30" t="s">
        <v>37</v>
      </c>
      <c r="D302" s="31"/>
      <c r="E302" s="30" t="s">
        <v>85</v>
      </c>
      <c r="F302" s="31"/>
      <c r="G302" s="30"/>
      <c r="H302" s="31"/>
      <c r="I302" s="30"/>
      <c r="J302" s="31"/>
      <c r="K302" s="30"/>
      <c r="L302" s="31"/>
    </row>
    <row r="303">
      <c r="A303" s="32"/>
      <c r="B303" s="33"/>
      <c r="C303" s="34">
        <v>45797.0</v>
      </c>
      <c r="D303" s="35">
        <v>45888.0</v>
      </c>
      <c r="E303" s="34">
        <v>46082.0</v>
      </c>
      <c r="F303" s="35">
        <v>46106.0</v>
      </c>
      <c r="G303" s="34"/>
      <c r="H303" s="35"/>
      <c r="I303" s="34"/>
      <c r="J303" s="35"/>
      <c r="K303" s="34"/>
      <c r="L303" s="35"/>
    </row>
    <row r="304">
      <c r="A304" s="28">
        <v>151.0</v>
      </c>
      <c r="B304" s="29">
        <f>IFERROR(__xludf.DUMMYFUNCTION("IF(ISBLANK(D305),"""",MAX(FILTER({D305;F305;H305;J305;L305}, ISNUMBER({D305;F305;H305;J305;L305}))))"),45929.0)</f>
        <v>45929</v>
      </c>
      <c r="C304" s="30" t="s">
        <v>59</v>
      </c>
      <c r="D304" s="31"/>
      <c r="E304" s="30"/>
      <c r="F304" s="31"/>
      <c r="G304" s="30"/>
      <c r="H304" s="31"/>
      <c r="I304" s="30"/>
      <c r="J304" s="31"/>
      <c r="K304" s="30"/>
      <c r="L304" s="31"/>
    </row>
    <row r="305">
      <c r="A305" s="32"/>
      <c r="B305" s="33"/>
      <c r="C305" s="34">
        <v>45853.0</v>
      </c>
      <c r="D305" s="35">
        <v>45929.0</v>
      </c>
      <c r="E305" s="34"/>
      <c r="F305" s="35"/>
      <c r="G305" s="34"/>
      <c r="H305" s="35"/>
      <c r="I305" s="34"/>
      <c r="J305" s="35"/>
      <c r="K305" s="34"/>
      <c r="L305" s="35"/>
    </row>
    <row r="306">
      <c r="A306" s="28">
        <v>152.0</v>
      </c>
      <c r="B306" s="29">
        <f>IFERROR(__xludf.DUMMYFUNCTION("IF(ISBLANK(D307),"""",MAX(FILTER({D307;F307;H307;J307;L307}, ISNUMBER({D307;F307;H307;J307;L307}))))"),46106.0)</f>
        <v>46106</v>
      </c>
      <c r="C306" s="30" t="s">
        <v>47</v>
      </c>
      <c r="D306" s="31"/>
      <c r="E306" s="30" t="s">
        <v>85</v>
      </c>
      <c r="F306" s="31"/>
      <c r="G306" s="30"/>
      <c r="H306" s="31"/>
      <c r="I306" s="30"/>
      <c r="J306" s="31"/>
      <c r="K306" s="30"/>
      <c r="L306" s="31"/>
    </row>
    <row r="307">
      <c r="A307" s="32"/>
      <c r="B307" s="33"/>
      <c r="C307" s="34">
        <v>45783.0</v>
      </c>
      <c r="D307" s="35">
        <v>45888.0</v>
      </c>
      <c r="E307" s="34">
        <v>46068.0</v>
      </c>
      <c r="F307" s="35">
        <v>46106.0</v>
      </c>
      <c r="G307" s="34"/>
      <c r="H307" s="35"/>
      <c r="I307" s="34"/>
      <c r="J307" s="35"/>
      <c r="K307" s="34"/>
      <c r="L307" s="35"/>
    </row>
    <row r="308">
      <c r="A308" s="28">
        <v>153.0</v>
      </c>
      <c r="B308" s="29">
        <f>IFERROR(__xludf.DUMMYFUNCTION("IF(ISBLANK(D309),"""",MAX(FILTER({D309;F309;H309;J309;L309}, ISNUMBER({D309;F309;H309;J309;L309}))))"),45888.0)</f>
        <v>45888</v>
      </c>
      <c r="C308" s="30" t="s">
        <v>44</v>
      </c>
      <c r="D308" s="31"/>
      <c r="E308" s="30" t="s">
        <v>46</v>
      </c>
      <c r="F308" s="31"/>
      <c r="G308" s="30"/>
      <c r="H308" s="31"/>
      <c r="I308" s="30"/>
      <c r="J308" s="31"/>
      <c r="K308" s="30"/>
      <c r="L308" s="31"/>
    </row>
    <row r="309">
      <c r="A309" s="32"/>
      <c r="B309" s="33"/>
      <c r="C309" s="34">
        <v>45797.0</v>
      </c>
      <c r="D309" s="35">
        <v>45888.0</v>
      </c>
      <c r="E309" s="34">
        <v>46270.0</v>
      </c>
      <c r="F309" s="35"/>
      <c r="G309" s="34"/>
      <c r="H309" s="35"/>
      <c r="I309" s="34"/>
      <c r="J309" s="35"/>
      <c r="K309" s="34"/>
      <c r="L309" s="35"/>
    </row>
    <row r="310">
      <c r="A310" s="28">
        <v>154.0</v>
      </c>
      <c r="B310" s="29">
        <f>IFERROR(__xludf.DUMMYFUNCTION("IF(ISBLANK(D311),"""",MAX(FILTER({D311;F311;H311;J311;L311}, ISNUMBER({D311;F311;H311;J311;L311}))))"),45930.0)</f>
        <v>45930</v>
      </c>
      <c r="C310" s="30" t="s">
        <v>13</v>
      </c>
      <c r="D310" s="31"/>
      <c r="E310" s="30"/>
      <c r="F310" s="31"/>
      <c r="G310" s="30"/>
      <c r="H310" s="31"/>
      <c r="I310" s="30"/>
      <c r="J310" s="31"/>
      <c r="K310" s="30"/>
      <c r="L310" s="31"/>
    </row>
    <row r="311">
      <c r="A311" s="32"/>
      <c r="B311" s="33"/>
      <c r="C311" s="34">
        <v>45888.0</v>
      </c>
      <c r="D311" s="35">
        <v>45930.0</v>
      </c>
      <c r="E311" s="34"/>
      <c r="F311" s="35"/>
      <c r="G311" s="34"/>
      <c r="H311" s="35"/>
      <c r="I311" s="34"/>
      <c r="J311" s="35"/>
      <c r="K311" s="34"/>
      <c r="L311" s="35"/>
    </row>
    <row r="312">
      <c r="A312" s="28">
        <v>155.0</v>
      </c>
      <c r="B312" s="29" t="str">
        <f>IFERROR(__xludf.DUMMYFUNCTION("IF(ISBLANK(D313),"""",MAX(FILTER({D313;F313;H313;J313;L313}, ISNUMBER({D313;F313;H313;J313;L313}))))"),"")</f>
        <v/>
      </c>
      <c r="C312" s="30"/>
      <c r="D312" s="31"/>
      <c r="E312" s="30"/>
      <c r="F312" s="31"/>
      <c r="G312" s="30"/>
      <c r="H312" s="31"/>
      <c r="I312" s="30"/>
      <c r="J312" s="31"/>
      <c r="K312" s="30"/>
      <c r="L312" s="31"/>
    </row>
    <row r="313">
      <c r="A313" s="32"/>
      <c r="B313" s="33"/>
      <c r="C313" s="34"/>
      <c r="D313" s="35"/>
      <c r="E313" s="34"/>
      <c r="F313" s="35"/>
      <c r="G313" s="34"/>
      <c r="H313" s="35"/>
      <c r="I313" s="34"/>
      <c r="J313" s="35"/>
      <c r="K313" s="34"/>
      <c r="L313" s="35"/>
    </row>
    <row r="314">
      <c r="A314" s="28">
        <v>156.0</v>
      </c>
      <c r="B314" s="29" t="str">
        <f>IFERROR(__xludf.DUMMYFUNCTION("IF(ISBLANK(D315),"""",MAX(FILTER({D315;F315;H315;J315;L315}, ISNUMBER({D315;F315;H315;J315;L315}))))"),"")</f>
        <v/>
      </c>
      <c r="C314" s="30"/>
      <c r="D314" s="31"/>
      <c r="E314" s="30"/>
      <c r="F314" s="31"/>
      <c r="G314" s="30"/>
      <c r="H314" s="31"/>
      <c r="I314" s="30"/>
      <c r="J314" s="31"/>
      <c r="K314" s="30"/>
      <c r="L314" s="31"/>
    </row>
    <row r="315">
      <c r="A315" s="32"/>
      <c r="B315" s="33"/>
      <c r="C315" s="34"/>
      <c r="D315" s="35"/>
      <c r="E315" s="34"/>
      <c r="F315" s="35"/>
      <c r="G315" s="34"/>
      <c r="H315" s="35"/>
      <c r="I315" s="34"/>
      <c r="J315" s="35"/>
      <c r="K315" s="34"/>
      <c r="L315" s="35"/>
    </row>
    <row r="316">
      <c r="A316" s="28">
        <v>157.0</v>
      </c>
      <c r="B316" s="29" t="str">
        <f>IFERROR(__xludf.DUMMYFUNCTION("IF(ISBLANK(D317),"""",MAX(FILTER({D317;F317;H317;J317;L317}, ISNUMBER({D317;F317;H317;J317;L317}))))"),"")</f>
        <v/>
      </c>
      <c r="C316" s="30"/>
      <c r="D316" s="31"/>
      <c r="E316" s="30"/>
      <c r="F316" s="31"/>
      <c r="G316" s="30"/>
      <c r="H316" s="31"/>
      <c r="I316" s="30"/>
      <c r="J316" s="31"/>
      <c r="K316" s="30"/>
      <c r="L316" s="31"/>
    </row>
    <row r="317">
      <c r="A317" s="32"/>
      <c r="B317" s="33"/>
      <c r="C317" s="34"/>
      <c r="D317" s="35"/>
      <c r="E317" s="34"/>
      <c r="F317" s="35"/>
      <c r="G317" s="34"/>
      <c r="H317" s="35"/>
      <c r="I317" s="34"/>
      <c r="J317" s="35"/>
      <c r="K317" s="34"/>
      <c r="L317" s="35"/>
    </row>
    <row r="318">
      <c r="A318" s="28">
        <v>158.0</v>
      </c>
      <c r="B318" s="29" t="str">
        <f>IFERROR(__xludf.DUMMYFUNCTION("IF(ISBLANK(D319),"""",MAX(FILTER({D319;F319;H319;J319;L319}, ISNUMBER({D319;F319;H319;J319;L319}))))"),"")</f>
        <v/>
      </c>
      <c r="C318" s="30"/>
      <c r="D318" s="31"/>
      <c r="E318" s="30"/>
      <c r="F318" s="31"/>
      <c r="G318" s="30"/>
      <c r="H318" s="31"/>
      <c r="I318" s="30"/>
      <c r="J318" s="31"/>
      <c r="K318" s="30"/>
      <c r="L318" s="31"/>
    </row>
    <row r="319">
      <c r="A319" s="32"/>
      <c r="B319" s="33"/>
      <c r="C319" s="34"/>
      <c r="D319" s="35"/>
      <c r="E319" s="34"/>
      <c r="F319" s="35"/>
      <c r="G319" s="34"/>
      <c r="H319" s="35"/>
      <c r="I319" s="34"/>
      <c r="J319" s="35"/>
      <c r="K319" s="34"/>
      <c r="L319" s="35"/>
    </row>
    <row r="320">
      <c r="A320" s="28">
        <v>159.0</v>
      </c>
      <c r="B320" s="29">
        <f>IFERROR(__xludf.DUMMYFUNCTION("IF(ISBLANK(D321),"""",MAX(FILTER({D321;F321;H321;J321;L321}, ISNUMBER({D321;F321;H321;J321;L321}))))"),45928.0)</f>
        <v>45928</v>
      </c>
      <c r="C320" s="30" t="s">
        <v>85</v>
      </c>
      <c r="D320" s="31"/>
      <c r="E320" s="30"/>
      <c r="F320" s="31"/>
      <c r="G320" s="30"/>
      <c r="H320" s="31"/>
      <c r="I320" s="30"/>
      <c r="J320" s="31"/>
      <c r="K320" s="30"/>
      <c r="L320" s="31"/>
    </row>
    <row r="321">
      <c r="A321" s="32"/>
      <c r="B321" s="33"/>
      <c r="C321" s="34">
        <v>45881.0</v>
      </c>
      <c r="D321" s="35">
        <v>45928.0</v>
      </c>
      <c r="E321" s="34"/>
      <c r="F321" s="35"/>
      <c r="G321" s="34"/>
      <c r="H321" s="35"/>
      <c r="I321" s="34"/>
      <c r="J321" s="35"/>
      <c r="K321" s="34"/>
      <c r="L321" s="35"/>
    </row>
    <row r="322">
      <c r="A322" s="28">
        <v>160.0</v>
      </c>
      <c r="B322" s="29">
        <f>IFERROR(__xludf.DUMMYFUNCTION("IF(ISBLANK(D323),"""",MAX(FILTER({D323;F323;H323;J323;L323}, ISNUMBER({D323;F323;H323;J323;L323}))))"),45942.0)</f>
        <v>45942</v>
      </c>
      <c r="C322" s="30" t="s">
        <v>85</v>
      </c>
      <c r="D322" s="31"/>
      <c r="E322" s="30"/>
      <c r="F322" s="31"/>
      <c r="G322" s="30"/>
      <c r="H322" s="31"/>
      <c r="I322" s="30"/>
      <c r="J322" s="31"/>
      <c r="K322" s="30"/>
      <c r="L322" s="31"/>
    </row>
    <row r="323">
      <c r="A323" s="32"/>
      <c r="B323" s="33"/>
      <c r="C323" s="34">
        <v>45851.0</v>
      </c>
      <c r="D323" s="35">
        <v>45942.0</v>
      </c>
      <c r="E323" s="34"/>
      <c r="F323" s="35"/>
      <c r="G323" s="34"/>
      <c r="H323" s="35"/>
      <c r="I323" s="34"/>
      <c r="J323" s="35"/>
      <c r="K323" s="34"/>
      <c r="L323" s="35"/>
    </row>
    <row r="324">
      <c r="A324" s="28">
        <v>161.0</v>
      </c>
      <c r="B324" s="29">
        <f>IFERROR(__xludf.DUMMYFUNCTION("IF(ISBLANK(D325),"""",MAX(FILTER({D325;F325;H325;J325;L325}, ISNUMBER({D325;F325;H325;J325;L325}))))"),45942.0)</f>
        <v>45942</v>
      </c>
      <c r="C324" s="30" t="s">
        <v>13</v>
      </c>
      <c r="D324" s="31"/>
      <c r="E324" s="30" t="s">
        <v>84</v>
      </c>
      <c r="F324" s="31"/>
      <c r="G324" s="30"/>
      <c r="H324" s="31"/>
      <c r="I324" s="30"/>
      <c r="J324" s="31"/>
      <c r="K324" s="30"/>
      <c r="L324" s="31"/>
    </row>
    <row r="325">
      <c r="A325" s="32"/>
      <c r="B325" s="33"/>
      <c r="C325" s="34">
        <v>45888.0</v>
      </c>
      <c r="D325" s="35">
        <v>45942.0</v>
      </c>
      <c r="E325" s="34">
        <v>46200.0</v>
      </c>
      <c r="F325" s="35"/>
      <c r="G325" s="34"/>
      <c r="H325" s="35"/>
      <c r="I325" s="34"/>
      <c r="J325" s="35"/>
      <c r="K325" s="34"/>
      <c r="L325" s="35"/>
    </row>
    <row r="326">
      <c r="A326" s="28">
        <v>162.0</v>
      </c>
      <c r="B326" s="29">
        <f>IFERROR(__xludf.DUMMYFUNCTION("IF(ISBLANK(D327),"""",MAX(FILTER({D327;F327;H327;J327;L327}, ISNUMBER({D327;F327;H327;J327;L327}))))"),46246.0)</f>
        <v>46246</v>
      </c>
      <c r="C326" s="30" t="s">
        <v>13</v>
      </c>
      <c r="D326" s="31"/>
      <c r="E326" s="30" t="s">
        <v>85</v>
      </c>
      <c r="F326" s="31"/>
      <c r="G326" s="30"/>
      <c r="H326" s="31"/>
      <c r="I326" s="30"/>
      <c r="J326" s="31"/>
      <c r="K326" s="30"/>
      <c r="L326" s="31"/>
    </row>
    <row r="327">
      <c r="A327" s="32"/>
      <c r="B327" s="33"/>
      <c r="C327" s="34">
        <v>45888.0</v>
      </c>
      <c r="D327" s="35">
        <v>45930.0</v>
      </c>
      <c r="E327" s="34">
        <v>46172.0</v>
      </c>
      <c r="F327" s="35">
        <v>46246.0</v>
      </c>
      <c r="G327" s="34"/>
      <c r="H327" s="35"/>
      <c r="I327" s="34"/>
      <c r="J327" s="35"/>
      <c r="K327" s="34"/>
      <c r="L327" s="35"/>
    </row>
    <row r="328">
      <c r="A328" s="28">
        <v>163.0</v>
      </c>
      <c r="B328" s="29">
        <f>IFERROR(__xludf.DUMMYFUNCTION("IF(ISBLANK(D329),"""",MAX(FILTER({D329;F329;H329;J329;L329}, ISNUMBER({D329;F329;H329;J329;L329}))))"),45929.0)</f>
        <v>45929</v>
      </c>
      <c r="C328" s="30" t="s">
        <v>85</v>
      </c>
      <c r="D328" s="31"/>
      <c r="E328" s="30"/>
      <c r="F328" s="31"/>
      <c r="G328" s="30"/>
      <c r="H328" s="31"/>
      <c r="I328" s="30"/>
      <c r="J328" s="31"/>
      <c r="K328" s="30"/>
      <c r="L328" s="31"/>
    </row>
    <row r="329">
      <c r="A329" s="32"/>
      <c r="B329" s="33"/>
      <c r="C329" s="34">
        <v>45818.0</v>
      </c>
      <c r="D329" s="35">
        <v>45929.0</v>
      </c>
      <c r="E329" s="34"/>
      <c r="F329" s="35"/>
      <c r="G329" s="34"/>
      <c r="H329" s="35"/>
      <c r="I329" s="34"/>
      <c r="J329" s="35"/>
      <c r="K329" s="34"/>
      <c r="L329" s="35"/>
    </row>
    <row r="330">
      <c r="A330" s="28">
        <v>164.0</v>
      </c>
      <c r="B330" s="29">
        <f>IFERROR(__xludf.DUMMYFUNCTION("IF(ISBLANK(D331),"""",MAX(FILTER({D331;F331;H331;J331;L331}, ISNUMBER({D331;F331;H331;J331;L331}))))"),46130.0)</f>
        <v>46130</v>
      </c>
      <c r="C330" s="30" t="s">
        <v>49</v>
      </c>
      <c r="D330" s="31"/>
      <c r="E330" s="30"/>
      <c r="F330" s="31"/>
      <c r="G330" s="30"/>
      <c r="H330" s="31"/>
      <c r="I330" s="30"/>
      <c r="J330" s="31"/>
      <c r="K330" s="30"/>
      <c r="L330" s="31"/>
    </row>
    <row r="331">
      <c r="A331" s="32"/>
      <c r="B331" s="33"/>
      <c r="C331" s="34">
        <v>45888.0</v>
      </c>
      <c r="D331" s="35">
        <v>46130.0</v>
      </c>
      <c r="E331" s="34"/>
      <c r="F331" s="35"/>
      <c r="G331" s="34"/>
      <c r="H331" s="35"/>
      <c r="I331" s="34"/>
      <c r="J331" s="35"/>
      <c r="K331" s="34"/>
      <c r="L331" s="35"/>
    </row>
    <row r="332">
      <c r="A332" s="28">
        <v>165.0</v>
      </c>
      <c r="B332" s="29">
        <f>IFERROR(__xludf.DUMMYFUNCTION("IF(ISBLANK(D333),"""",MAX(FILTER({D333;F333;H333;J333;L333}, ISNUMBER({D333;F333;H333;J333;L333}))))"),45978.0)</f>
        <v>45978</v>
      </c>
      <c r="C332" s="30" t="s">
        <v>87</v>
      </c>
      <c r="D332" s="31"/>
      <c r="E332" s="30"/>
      <c r="F332" s="31"/>
      <c r="G332" s="30"/>
      <c r="H332" s="31"/>
      <c r="I332" s="30"/>
      <c r="J332" s="31"/>
      <c r="K332" s="30"/>
      <c r="L332" s="31"/>
    </row>
    <row r="333">
      <c r="A333" s="32"/>
      <c r="B333" s="33"/>
      <c r="C333" s="34">
        <v>45800.0</v>
      </c>
      <c r="D333" s="35">
        <v>45978.0</v>
      </c>
      <c r="E333" s="34"/>
      <c r="F333" s="35"/>
      <c r="G333" s="34"/>
      <c r="H333" s="35"/>
      <c r="I333" s="34"/>
      <c r="J333" s="35"/>
      <c r="K333" s="34"/>
      <c r="L333" s="35"/>
    </row>
    <row r="334">
      <c r="A334" s="28">
        <v>166.0</v>
      </c>
      <c r="B334" s="29">
        <f>IFERROR(__xludf.DUMMYFUNCTION("IF(ISBLANK(D335),"""",MAX(FILTER({D335;F335;H335;J335;L335}, ISNUMBER({D335;F335;H335;J335;L335}))))"),45776.0)</f>
        <v>45776</v>
      </c>
      <c r="C334" s="30" t="s">
        <v>45</v>
      </c>
      <c r="D334" s="31"/>
      <c r="E334" s="30"/>
      <c r="F334" s="31"/>
      <c r="G334" s="30"/>
      <c r="H334" s="31"/>
      <c r="I334" s="30"/>
      <c r="J334" s="31"/>
      <c r="K334" s="30"/>
      <c r="L334" s="31"/>
    </row>
    <row r="335">
      <c r="A335" s="32"/>
      <c r="B335" s="33"/>
      <c r="C335" s="34">
        <v>45676.0</v>
      </c>
      <c r="D335" s="35">
        <v>45776.0</v>
      </c>
      <c r="E335" s="34"/>
      <c r="F335" s="35"/>
      <c r="G335" s="34"/>
      <c r="H335" s="35"/>
      <c r="I335" s="34"/>
      <c r="J335" s="35"/>
      <c r="K335" s="34"/>
      <c r="L335" s="35"/>
    </row>
    <row r="336">
      <c r="A336" s="28">
        <v>167.0</v>
      </c>
      <c r="B336" s="29">
        <f>IFERROR(__xludf.DUMMYFUNCTION("IF(ISBLANK(D337),"""",MAX(FILTER({D337;F337;H337;J337;L337}, ISNUMBER({D337;F337;H337;J337;L337}))))"),45936.0)</f>
        <v>45936</v>
      </c>
      <c r="C336" s="30" t="s">
        <v>49</v>
      </c>
      <c r="D336" s="31"/>
      <c r="E336" s="30" t="s">
        <v>5</v>
      </c>
      <c r="F336" s="31"/>
      <c r="G336" s="30"/>
      <c r="H336" s="31"/>
      <c r="I336" s="30"/>
      <c r="J336" s="31"/>
      <c r="K336" s="30"/>
      <c r="L336" s="31"/>
    </row>
    <row r="337">
      <c r="A337" s="32"/>
      <c r="B337" s="33"/>
      <c r="C337" s="34">
        <v>45888.0</v>
      </c>
      <c r="D337" s="35">
        <v>45936.0</v>
      </c>
      <c r="E337" s="34">
        <v>46264.0</v>
      </c>
      <c r="F337" s="35"/>
      <c r="G337" s="34"/>
      <c r="H337" s="35"/>
      <c r="I337" s="34"/>
      <c r="J337" s="35"/>
      <c r="K337" s="34"/>
      <c r="L337" s="35"/>
    </row>
    <row r="338">
      <c r="A338" s="28">
        <v>168.0</v>
      </c>
      <c r="B338" s="29">
        <f>IFERROR(__xludf.DUMMYFUNCTION("IF(ISBLANK(D339),"""",MAX(FILTER({D339;F339;H339;J339;L339}, ISNUMBER({D339;F339;H339;J339;L339}))))"),45776.0)</f>
        <v>45776</v>
      </c>
      <c r="C338" s="30" t="s">
        <v>45</v>
      </c>
      <c r="D338" s="31"/>
      <c r="E338" s="30"/>
      <c r="F338" s="31"/>
      <c r="G338" s="30"/>
      <c r="H338" s="31"/>
      <c r="I338" s="30"/>
      <c r="J338" s="31"/>
      <c r="K338" s="30"/>
      <c r="L338" s="31"/>
    </row>
    <row r="339">
      <c r="A339" s="32"/>
      <c r="B339" s="33"/>
      <c r="C339" s="34">
        <v>45676.0</v>
      </c>
      <c r="D339" s="35">
        <v>45776.0</v>
      </c>
      <c r="E339" s="34"/>
      <c r="F339" s="35"/>
      <c r="G339" s="34"/>
      <c r="H339" s="35"/>
      <c r="I339" s="34"/>
      <c r="J339" s="35"/>
      <c r="K339" s="34"/>
      <c r="L339" s="35"/>
    </row>
    <row r="340">
      <c r="A340" s="28">
        <v>169.0</v>
      </c>
      <c r="B340" s="29">
        <f>IFERROR(__xludf.DUMMYFUNCTION("IF(ISBLANK(D341),"""",MAX(FILTER({D341;F341;H341;J341;L341}, ISNUMBER({D341;F341;H341;J341;L341}))))"),45801.0)</f>
        <v>45801</v>
      </c>
      <c r="C340" s="30" t="s">
        <v>69</v>
      </c>
      <c r="D340" s="31"/>
      <c r="E340" s="30"/>
      <c r="F340" s="31"/>
      <c r="G340" s="30"/>
      <c r="H340" s="31"/>
      <c r="I340" s="30"/>
      <c r="J340" s="31"/>
      <c r="K340" s="30"/>
      <c r="L340" s="31"/>
    </row>
    <row r="341">
      <c r="A341" s="32"/>
      <c r="B341" s="33"/>
      <c r="C341" s="34">
        <v>45801.0</v>
      </c>
      <c r="D341" s="35">
        <v>45801.0</v>
      </c>
      <c r="E341" s="34"/>
      <c r="F341" s="35"/>
      <c r="G341" s="34"/>
      <c r="H341" s="35"/>
      <c r="I341" s="34"/>
      <c r="J341" s="35"/>
      <c r="K341" s="34"/>
      <c r="L341" s="35"/>
    </row>
    <row r="342">
      <c r="A342" s="28">
        <v>170.0</v>
      </c>
      <c r="B342" s="29">
        <f>IFERROR(__xludf.DUMMYFUNCTION("IF(ISBLANK(D343),"""",MAX(FILTER({D343;F343;H343;J343;L343}, ISNUMBER({D343;F343;H343;J343;L343}))))"),45929.0)</f>
        <v>45929</v>
      </c>
      <c r="C342" s="30" t="s">
        <v>59</v>
      </c>
      <c r="D342" s="31"/>
      <c r="E342" s="30"/>
      <c r="F342" s="31"/>
      <c r="G342" s="30"/>
      <c r="H342" s="31"/>
      <c r="I342" s="30"/>
      <c r="J342" s="31"/>
      <c r="K342" s="30"/>
      <c r="L342" s="31"/>
    </row>
    <row r="343">
      <c r="A343" s="32"/>
      <c r="B343" s="33"/>
      <c r="C343" s="34">
        <v>45800.0</v>
      </c>
      <c r="D343" s="35">
        <v>45929.0</v>
      </c>
      <c r="E343" s="34"/>
      <c r="F343" s="35"/>
      <c r="G343" s="34"/>
      <c r="H343" s="35"/>
      <c r="I343" s="34"/>
      <c r="J343" s="35"/>
      <c r="K343" s="34"/>
      <c r="L343" s="35"/>
    </row>
    <row r="344">
      <c r="A344" s="28">
        <v>171.0</v>
      </c>
      <c r="B344" s="29">
        <f>IFERROR(__xludf.DUMMYFUNCTION("IF(ISBLANK(D345),"""",MAX(FILTER({D345;F345;H345;J345;L345}, ISNUMBER({D345;F345;H345;J345;L345}))))"),45646.0)</f>
        <v>45646</v>
      </c>
      <c r="C344" s="30" t="s">
        <v>52</v>
      </c>
      <c r="D344" s="31"/>
      <c r="E344" s="30"/>
      <c r="F344" s="31"/>
      <c r="G344" s="30"/>
      <c r="H344" s="31"/>
      <c r="I344" s="30"/>
      <c r="J344" s="31"/>
      <c r="K344" s="30"/>
      <c r="L344" s="31"/>
    </row>
    <row r="345">
      <c r="A345" s="32"/>
      <c r="B345" s="33"/>
      <c r="C345" s="34">
        <v>45557.0</v>
      </c>
      <c r="D345" s="35">
        <v>45646.0</v>
      </c>
      <c r="E345" s="34"/>
      <c r="F345" s="35"/>
      <c r="G345" s="34"/>
      <c r="H345" s="35"/>
      <c r="I345" s="34"/>
      <c r="J345" s="35"/>
      <c r="K345" s="34"/>
      <c r="L345" s="35"/>
    </row>
    <row r="346">
      <c r="A346" s="28">
        <v>172.0</v>
      </c>
      <c r="B346" s="29">
        <f>IFERROR(__xludf.DUMMYFUNCTION("IF(ISBLANK(D347),"""",MAX(FILTER({D347;F347;H347;J347;L347}, ISNUMBER({D347;F347;H347;J347;L347}))))"),45776.0)</f>
        <v>45776</v>
      </c>
      <c r="C346" s="30" t="s">
        <v>85</v>
      </c>
      <c r="D346" s="31"/>
      <c r="E346" s="30"/>
      <c r="F346" s="31"/>
      <c r="G346" s="30"/>
      <c r="H346" s="31"/>
      <c r="I346" s="30"/>
      <c r="J346" s="31"/>
      <c r="K346" s="30"/>
      <c r="L346" s="31"/>
    </row>
    <row r="347">
      <c r="A347" s="32"/>
      <c r="B347" s="33"/>
      <c r="C347" s="34">
        <v>45732.0</v>
      </c>
      <c r="D347" s="35">
        <v>45776.0</v>
      </c>
      <c r="E347" s="34"/>
      <c r="F347" s="35"/>
      <c r="G347" s="34"/>
      <c r="H347" s="35"/>
      <c r="I347" s="34"/>
      <c r="J347" s="35"/>
      <c r="K347" s="34"/>
      <c r="L347" s="35"/>
    </row>
    <row r="348">
      <c r="A348" s="28">
        <v>173.0</v>
      </c>
      <c r="B348" s="29">
        <f>IFERROR(__xludf.DUMMYFUNCTION("IF(ISBLANK(D349),"""",MAX(FILTER({D349;F349;H349;J349;L349}, ISNUMBER({D349;F349;H349;J349;L349}))))"),45979.0)</f>
        <v>45979</v>
      </c>
      <c r="C348" s="30" t="s">
        <v>45</v>
      </c>
      <c r="D348" s="31"/>
      <c r="E348" s="30"/>
      <c r="F348" s="31"/>
      <c r="G348" s="30"/>
      <c r="H348" s="31"/>
      <c r="I348" s="30"/>
      <c r="J348" s="31"/>
      <c r="K348" s="30"/>
      <c r="L348" s="31"/>
    </row>
    <row r="349">
      <c r="A349" s="32"/>
      <c r="B349" s="33"/>
      <c r="C349" s="34">
        <v>45893.0</v>
      </c>
      <c r="D349" s="35">
        <v>45979.0</v>
      </c>
      <c r="E349" s="34"/>
      <c r="F349" s="35"/>
      <c r="G349" s="34"/>
      <c r="H349" s="35"/>
      <c r="I349" s="34"/>
      <c r="J349" s="35"/>
      <c r="K349" s="34"/>
      <c r="L349" s="35"/>
    </row>
    <row r="350">
      <c r="A350" s="28">
        <v>174.0</v>
      </c>
      <c r="B350" s="29">
        <f>IFERROR(__xludf.DUMMYFUNCTION("IF(ISBLANK(D351),"""",MAX(FILTER({D351;F351;H351;J351;L351}, ISNUMBER({D351;F351;H351;J351;L351}))))"),45839.0)</f>
        <v>45839</v>
      </c>
      <c r="C350" s="30" t="s">
        <v>5</v>
      </c>
      <c r="D350" s="31"/>
      <c r="E350" s="30"/>
      <c r="F350" s="31"/>
      <c r="G350" s="30"/>
      <c r="H350" s="31"/>
      <c r="I350" s="30"/>
      <c r="J350" s="31"/>
      <c r="K350" s="30"/>
      <c r="L350" s="31"/>
    </row>
    <row r="351">
      <c r="A351" s="32"/>
      <c r="B351" s="33"/>
      <c r="C351" s="34">
        <v>45746.0</v>
      </c>
      <c r="D351" s="35">
        <v>45839.0</v>
      </c>
      <c r="E351" s="34"/>
      <c r="F351" s="35"/>
      <c r="G351" s="34"/>
      <c r="H351" s="35"/>
      <c r="I351" s="34"/>
      <c r="J351" s="35"/>
      <c r="K351" s="34"/>
      <c r="L351" s="35"/>
    </row>
    <row r="352">
      <c r="A352" s="28">
        <v>175.0</v>
      </c>
      <c r="B352" s="29">
        <f>IFERROR(__xludf.DUMMYFUNCTION("IF(ISBLANK(D353),"""",MAX(FILTER({D353;F353;H353;J353;L353}, ISNUMBER({D353;F353;H353;J353;L353}))))"),45929.0)</f>
        <v>45929</v>
      </c>
      <c r="C352" s="30" t="s">
        <v>85</v>
      </c>
      <c r="D352" s="31"/>
      <c r="E352" s="30" t="s">
        <v>13</v>
      </c>
      <c r="F352" s="31"/>
      <c r="G352" s="30"/>
      <c r="H352" s="31"/>
      <c r="I352" s="30"/>
      <c r="J352" s="31"/>
      <c r="K352" s="30"/>
      <c r="L352" s="31"/>
    </row>
    <row r="353">
      <c r="A353" s="32"/>
      <c r="B353" s="33"/>
      <c r="C353" s="34">
        <v>45851.0</v>
      </c>
      <c r="D353" s="35">
        <v>45929.0</v>
      </c>
      <c r="E353" s="34">
        <v>46276.0</v>
      </c>
      <c r="F353" s="35"/>
      <c r="G353" s="34"/>
      <c r="H353" s="35"/>
      <c r="I353" s="34"/>
      <c r="J353" s="35"/>
      <c r="K353" s="34"/>
      <c r="L353" s="35"/>
    </row>
    <row r="354">
      <c r="A354" s="28">
        <v>176.0</v>
      </c>
      <c r="B354" s="29">
        <f>IFERROR(__xludf.DUMMYFUNCTION("IF(ISBLANK(D355),"""",MAX(FILTER({D355;F355;H355;J355;L355}, ISNUMBER({D355;F355;H355;J355;L355}))))"),45697.0)</f>
        <v>45697</v>
      </c>
      <c r="C354" s="30" t="s">
        <v>87</v>
      </c>
      <c r="D354" s="31"/>
      <c r="E354" s="30" t="s">
        <v>5</v>
      </c>
      <c r="F354" s="31"/>
      <c r="G354" s="30"/>
      <c r="H354" s="31"/>
      <c r="I354" s="30"/>
      <c r="J354" s="31"/>
      <c r="K354" s="30"/>
      <c r="L354" s="31"/>
    </row>
    <row r="355">
      <c r="A355" s="32"/>
      <c r="B355" s="33"/>
      <c r="C355" s="47">
        <v>45597.0</v>
      </c>
      <c r="D355" s="47">
        <v>45697.0</v>
      </c>
      <c r="E355" s="34">
        <v>45998.0</v>
      </c>
      <c r="F355" s="35"/>
      <c r="G355" s="34"/>
      <c r="H355" s="35"/>
      <c r="I355" s="34"/>
      <c r="J355" s="35"/>
      <c r="K355" s="34"/>
      <c r="L355" s="35"/>
    </row>
    <row r="356">
      <c r="A356" s="28">
        <v>177.0</v>
      </c>
      <c r="B356" s="29">
        <f>IFERROR(__xludf.DUMMYFUNCTION("IF(ISBLANK(D357),"""",MAX(FILTER({D357;F357;H357;J357;L357}, ISNUMBER({D357;F357;H357;J357;L357}))))"),45646.0)</f>
        <v>45646</v>
      </c>
      <c r="C356" s="30" t="s">
        <v>21</v>
      </c>
      <c r="D356" s="31"/>
      <c r="E356" s="30" t="s">
        <v>13</v>
      </c>
      <c r="F356" s="31"/>
      <c r="G356" s="30"/>
      <c r="H356" s="31"/>
      <c r="I356" s="30"/>
      <c r="J356" s="31"/>
      <c r="K356" s="30"/>
      <c r="L356" s="31"/>
    </row>
    <row r="357">
      <c r="A357" s="32"/>
      <c r="B357" s="33"/>
      <c r="C357" s="34">
        <v>45524.0</v>
      </c>
      <c r="D357" s="35">
        <v>45646.0</v>
      </c>
      <c r="E357" s="34">
        <v>46277.0</v>
      </c>
      <c r="F357" s="35"/>
      <c r="G357" s="34"/>
      <c r="H357" s="35"/>
      <c r="I357" s="34"/>
      <c r="J357" s="35"/>
      <c r="K357" s="34"/>
      <c r="L357" s="35"/>
    </row>
    <row r="358">
      <c r="A358" s="28">
        <v>178.0</v>
      </c>
      <c r="B358" s="29">
        <f>IFERROR(__xludf.DUMMYFUNCTION("IF(ISBLANK(D359),"""",MAX(FILTER({D359;F359;H359;J359;L359}, ISNUMBER({D359;F359;H359;J359;L359}))))"),46024.0)</f>
        <v>46024</v>
      </c>
      <c r="C358" s="30" t="s">
        <v>85</v>
      </c>
      <c r="D358" s="31"/>
      <c r="E358" s="30" t="s">
        <v>85</v>
      </c>
      <c r="F358" s="31"/>
      <c r="G358" s="30"/>
      <c r="H358" s="31"/>
      <c r="I358" s="30"/>
      <c r="J358" s="31"/>
      <c r="K358" s="30"/>
      <c r="L358" s="31"/>
    </row>
    <row r="359">
      <c r="A359" s="32"/>
      <c r="B359" s="33"/>
      <c r="C359" s="34">
        <v>45466.0</v>
      </c>
      <c r="D359" s="35">
        <v>45519.0</v>
      </c>
      <c r="E359" s="34">
        <v>46011.0</v>
      </c>
      <c r="F359" s="35">
        <v>46024.0</v>
      </c>
      <c r="G359" s="34"/>
      <c r="H359" s="35"/>
      <c r="I359" s="34"/>
      <c r="J359" s="35"/>
      <c r="K359" s="34"/>
      <c r="L359" s="35"/>
    </row>
    <row r="360">
      <c r="A360" s="28">
        <v>179.0</v>
      </c>
      <c r="B360" s="29">
        <f>IFERROR(__xludf.DUMMYFUNCTION("IF(ISBLANK(D361),"""",MAX(FILTER({D361;F361;H361;J361;L361}, ISNUMBER({D361;F361;H361;J361;L361}))))"),46109.0)</f>
        <v>46109</v>
      </c>
      <c r="C360" s="30" t="s">
        <v>87</v>
      </c>
      <c r="D360" s="31"/>
      <c r="E360" s="30" t="s">
        <v>85</v>
      </c>
      <c r="F360" s="31"/>
      <c r="G360" s="30"/>
      <c r="H360" s="31"/>
      <c r="I360" s="30"/>
      <c r="J360" s="31"/>
      <c r="K360" s="30"/>
      <c r="L360" s="31"/>
    </row>
    <row r="361">
      <c r="A361" s="32"/>
      <c r="B361" s="33"/>
      <c r="C361" s="34">
        <v>45800.0</v>
      </c>
      <c r="D361" s="35">
        <v>45900.0</v>
      </c>
      <c r="E361" s="34">
        <v>46073.0</v>
      </c>
      <c r="F361" s="35">
        <v>46109.0</v>
      </c>
      <c r="G361" s="34"/>
      <c r="H361" s="35"/>
      <c r="I361" s="34"/>
      <c r="J361" s="35"/>
      <c r="K361" s="34"/>
      <c r="L361" s="35"/>
    </row>
    <row r="362">
      <c r="A362" s="28">
        <v>180.0</v>
      </c>
      <c r="B362" s="29">
        <f>IFERROR(__xludf.DUMMYFUNCTION("IF(ISBLANK(D363),"""",MAX(FILTER({D363;F363;H363;J363;L363}, ISNUMBER({D363;F363;H363;J363;L363}))))"),45590.0)</f>
        <v>45590</v>
      </c>
      <c r="C362" s="30" t="s">
        <v>13</v>
      </c>
      <c r="D362" s="31"/>
      <c r="E362" s="30"/>
      <c r="F362" s="31"/>
      <c r="G362" s="30"/>
      <c r="H362" s="31"/>
      <c r="I362" s="30"/>
      <c r="J362" s="31"/>
      <c r="K362" s="30"/>
      <c r="L362" s="31"/>
    </row>
    <row r="363">
      <c r="A363" s="32"/>
      <c r="B363" s="33"/>
      <c r="C363" s="34">
        <v>45538.0</v>
      </c>
      <c r="D363" s="35">
        <v>45590.0</v>
      </c>
      <c r="E363" s="34"/>
      <c r="F363" s="35"/>
      <c r="G363" s="34"/>
      <c r="H363" s="35"/>
      <c r="I363" s="34"/>
      <c r="J363" s="35"/>
      <c r="K363" s="34"/>
      <c r="L363" s="35"/>
    </row>
    <row r="364">
      <c r="A364" s="28">
        <v>181.0</v>
      </c>
      <c r="B364" s="29">
        <f>IFERROR(__xludf.DUMMYFUNCTION("IF(ISBLANK(D365),"""",MAX(FILTER({D365;F365;H365;J365;L365}, ISNUMBER({D365;F365;H365;J365;L365}))))"),46036.0)</f>
        <v>46036</v>
      </c>
      <c r="C364" s="30" t="s">
        <v>96</v>
      </c>
      <c r="D364" s="31"/>
      <c r="E364" s="30" t="s">
        <v>56</v>
      </c>
      <c r="F364" s="31"/>
      <c r="G364" s="30"/>
      <c r="H364" s="31"/>
      <c r="I364" s="30"/>
      <c r="J364" s="31"/>
      <c r="K364" s="30"/>
      <c r="L364" s="31"/>
    </row>
    <row r="365">
      <c r="A365" s="32"/>
      <c r="B365" s="33"/>
      <c r="C365" s="34">
        <v>45482.0</v>
      </c>
      <c r="D365" s="35">
        <v>45543.0</v>
      </c>
      <c r="E365" s="34">
        <v>45940.0</v>
      </c>
      <c r="F365" s="35">
        <v>46036.0</v>
      </c>
      <c r="G365" s="34"/>
      <c r="H365" s="35"/>
      <c r="I365" s="34"/>
      <c r="J365" s="35"/>
      <c r="K365" s="34"/>
      <c r="L365" s="35"/>
    </row>
    <row r="366">
      <c r="A366" s="28">
        <v>182.0</v>
      </c>
      <c r="B366" s="29">
        <f>IFERROR(__xludf.DUMMYFUNCTION("IF(ISBLANK(D367),"""",MAX(FILTER({D367;F367;H367;J367;L367}, ISNUMBER({D367;F367;H367;J367;L367}))))"),46082.0)</f>
        <v>46082</v>
      </c>
      <c r="C366" s="30" t="s">
        <v>87</v>
      </c>
      <c r="D366" s="31"/>
      <c r="E366" s="30" t="s">
        <v>44</v>
      </c>
      <c r="F366" s="31"/>
      <c r="G366" s="30"/>
      <c r="H366" s="31"/>
      <c r="I366" s="30"/>
      <c r="J366" s="31"/>
      <c r="K366" s="30"/>
      <c r="L366" s="31"/>
    </row>
    <row r="367">
      <c r="A367" s="32"/>
      <c r="B367" s="33"/>
      <c r="C367" s="34">
        <v>45597.0</v>
      </c>
      <c r="D367" s="35">
        <v>45697.0</v>
      </c>
      <c r="E367" s="34">
        <v>45965.0</v>
      </c>
      <c r="F367" s="35">
        <v>46082.0</v>
      </c>
      <c r="G367" s="34"/>
      <c r="H367" s="35"/>
      <c r="I367" s="34"/>
      <c r="J367" s="35"/>
      <c r="K367" s="34"/>
      <c r="L367" s="35"/>
    </row>
    <row r="368">
      <c r="A368" s="28">
        <v>183.0</v>
      </c>
      <c r="B368" s="29">
        <f>IFERROR(__xludf.DUMMYFUNCTION("IF(ISBLANK(D369),"""",MAX(FILTER({D369;F369;H369;J369;L369}, ISNUMBER({D369;F369;H369;J369;L369}))))"),46052.0)</f>
        <v>46052</v>
      </c>
      <c r="C368" s="30" t="s">
        <v>11</v>
      </c>
      <c r="D368" s="31"/>
      <c r="E368" s="30"/>
      <c r="F368" s="31"/>
      <c r="G368" s="30"/>
      <c r="H368" s="31"/>
      <c r="I368" s="30"/>
      <c r="J368" s="31"/>
      <c r="K368" s="30"/>
      <c r="L368" s="31"/>
    </row>
    <row r="369">
      <c r="A369" s="32"/>
      <c r="B369" s="33"/>
      <c r="C369" s="34">
        <v>45940.0</v>
      </c>
      <c r="D369" s="35">
        <v>46052.0</v>
      </c>
      <c r="E369" s="34"/>
      <c r="F369" s="35"/>
      <c r="G369" s="34"/>
      <c r="H369" s="35"/>
      <c r="I369" s="34"/>
      <c r="J369" s="35"/>
      <c r="K369" s="34"/>
      <c r="L369" s="35"/>
    </row>
    <row r="370">
      <c r="A370" s="28">
        <v>184.0</v>
      </c>
      <c r="B370" s="29">
        <f>IFERROR(__xludf.DUMMYFUNCTION("IF(ISBLANK(D371),"""",MAX(FILTER({D371;F371;H371;J371;L371}, ISNUMBER({D371;F371;H371;J371;L371}))))"),45755.0)</f>
        <v>45755</v>
      </c>
      <c r="C370" s="30" t="s">
        <v>11</v>
      </c>
      <c r="D370" s="31"/>
      <c r="E370" s="30" t="s">
        <v>69</v>
      </c>
      <c r="F370" s="31"/>
      <c r="G370" s="30"/>
      <c r="H370" s="31"/>
      <c r="I370" s="30"/>
      <c r="J370" s="31"/>
      <c r="K370" s="30"/>
      <c r="L370" s="31"/>
    </row>
    <row r="371">
      <c r="A371" s="32"/>
      <c r="B371" s="33"/>
      <c r="C371" s="34">
        <v>45655.0</v>
      </c>
      <c r="D371" s="35">
        <v>45755.0</v>
      </c>
      <c r="E371" s="48">
        <v>46048.0</v>
      </c>
      <c r="F371" s="35"/>
      <c r="G371" s="34"/>
      <c r="H371" s="35"/>
      <c r="I371" s="34"/>
      <c r="J371" s="35"/>
      <c r="K371" s="34"/>
      <c r="L371" s="35"/>
    </row>
    <row r="372">
      <c r="A372" s="28">
        <v>185.0</v>
      </c>
      <c r="B372" s="29">
        <f>IFERROR(__xludf.DUMMYFUNCTION("IF(ISBLANK(D373),"""",MAX(FILTER({D373;F373;H373;J373;L373}, ISNUMBER({D373;F373;H373;J373;L373}))))"),46036.0)</f>
        <v>46036</v>
      </c>
      <c r="C372" s="30" t="s">
        <v>67</v>
      </c>
      <c r="D372" s="31"/>
      <c r="E372" s="30" t="s">
        <v>56</v>
      </c>
      <c r="F372" s="31"/>
      <c r="G372" s="30"/>
      <c r="H372" s="31"/>
      <c r="I372" s="30"/>
      <c r="J372" s="31"/>
      <c r="K372" s="30"/>
      <c r="L372" s="31"/>
    </row>
    <row r="373">
      <c r="A373" s="32"/>
      <c r="B373" s="33"/>
      <c r="C373" s="34">
        <v>45332.0</v>
      </c>
      <c r="D373" s="35">
        <v>45597.0</v>
      </c>
      <c r="E373" s="34">
        <v>46305.0</v>
      </c>
      <c r="F373" s="35">
        <v>46036.0</v>
      </c>
      <c r="G373" s="34"/>
      <c r="H373" s="35"/>
      <c r="I373" s="34"/>
      <c r="J373" s="35"/>
      <c r="K373" s="34"/>
      <c r="L373" s="35"/>
    </row>
    <row r="374">
      <c r="A374" s="28">
        <v>186.0</v>
      </c>
      <c r="B374" s="29">
        <f>IFERROR(__xludf.DUMMYFUNCTION("IF(ISBLANK(D375),"""",MAX(FILTER({D375;F375;H375;J375;L375}, ISNUMBER({D375;F375;H375;J375;L375}))))"),46106.0)</f>
        <v>46106</v>
      </c>
      <c r="C374" s="30" t="s">
        <v>13</v>
      </c>
      <c r="D374" s="31"/>
      <c r="E374" s="30" t="s">
        <v>87</v>
      </c>
      <c r="F374" s="31"/>
      <c r="G374" s="30"/>
      <c r="H374" s="31"/>
      <c r="I374" s="30"/>
      <c r="J374" s="31"/>
      <c r="K374" s="30"/>
      <c r="L374" s="31"/>
    </row>
    <row r="375">
      <c r="A375" s="32"/>
      <c r="B375" s="33"/>
      <c r="C375" s="34">
        <v>45566.0</v>
      </c>
      <c r="D375" s="35">
        <v>45590.0</v>
      </c>
      <c r="E375" s="34">
        <v>46005.0</v>
      </c>
      <c r="F375" s="35">
        <v>46106.0</v>
      </c>
      <c r="G375" s="34"/>
      <c r="H375" s="35"/>
      <c r="I375" s="34"/>
      <c r="J375" s="35"/>
      <c r="K375" s="34"/>
      <c r="L375" s="35"/>
    </row>
    <row r="376">
      <c r="A376" s="28">
        <v>187.0</v>
      </c>
      <c r="B376" s="29">
        <f>IFERROR(__xludf.DUMMYFUNCTION("IF(ISBLANK(D377),"""",MAX(FILTER({D377;F377;H377;J377;L377}, ISNUMBER({D377;F377;H377;J377;L377}))))"),45961.0)</f>
        <v>45961</v>
      </c>
      <c r="C376" s="30" t="s">
        <v>85</v>
      </c>
      <c r="D376" s="31"/>
      <c r="E376" s="30"/>
      <c r="F376" s="31"/>
      <c r="G376" s="30"/>
      <c r="H376" s="31"/>
      <c r="I376" s="30"/>
      <c r="J376" s="31"/>
      <c r="K376" s="30"/>
      <c r="L376" s="31"/>
    </row>
    <row r="377">
      <c r="A377" s="32"/>
      <c r="B377" s="33"/>
      <c r="C377" s="34">
        <v>45881.0</v>
      </c>
      <c r="D377" s="35">
        <v>45961.0</v>
      </c>
      <c r="E377" s="34"/>
      <c r="F377" s="35"/>
      <c r="G377" s="34"/>
      <c r="H377" s="35"/>
      <c r="I377" s="34"/>
      <c r="J377" s="35"/>
      <c r="K377" s="34"/>
      <c r="L377" s="35"/>
    </row>
    <row r="378">
      <c r="A378" s="28">
        <v>188.0</v>
      </c>
      <c r="B378" s="29">
        <f>IFERROR(__xludf.DUMMYFUNCTION("IF(ISBLANK(D379),"""",MAX(FILTER({D379;F379;H379;J379;L379}, ISNUMBER({D379;F379;H379;J379;L379}))))"),46088.0)</f>
        <v>46088</v>
      </c>
      <c r="C378" s="30" t="s">
        <v>85</v>
      </c>
      <c r="D378" s="31"/>
      <c r="E378" s="30" t="s">
        <v>85</v>
      </c>
      <c r="F378" s="31"/>
      <c r="G378" s="30"/>
      <c r="H378" s="31"/>
      <c r="I378" s="30"/>
      <c r="J378" s="31"/>
      <c r="K378" s="30"/>
      <c r="L378" s="31"/>
    </row>
    <row r="379">
      <c r="A379" s="32"/>
      <c r="B379" s="33"/>
      <c r="C379" s="34">
        <v>45667.0</v>
      </c>
      <c r="D379" s="35">
        <v>45774.0</v>
      </c>
      <c r="E379" s="34">
        <v>46073.0</v>
      </c>
      <c r="F379" s="35">
        <v>46088.0</v>
      </c>
      <c r="G379" s="34"/>
      <c r="H379" s="35"/>
      <c r="I379" s="34"/>
      <c r="J379" s="35"/>
      <c r="K379" s="34"/>
      <c r="L379" s="35"/>
    </row>
    <row r="380">
      <c r="A380" s="28">
        <v>189.0</v>
      </c>
      <c r="B380" s="29">
        <f>IFERROR(__xludf.DUMMYFUNCTION("IF(ISBLANK(D381),"""",MAX(FILTER({D381;F381;H381;J381;L381}, ISNUMBER({D381;F381;H381;J381;L381}))))"),46014.0)</f>
        <v>46014</v>
      </c>
      <c r="C380" s="30" t="s">
        <v>49</v>
      </c>
      <c r="D380" s="31"/>
      <c r="E380" s="30" t="s">
        <v>69</v>
      </c>
      <c r="F380" s="31"/>
      <c r="G380" s="30"/>
      <c r="H380" s="31"/>
      <c r="I380" s="30"/>
      <c r="J380" s="31"/>
      <c r="K380" s="30"/>
      <c r="L380" s="31"/>
    </row>
    <row r="381">
      <c r="A381" s="32"/>
      <c r="B381" s="33"/>
      <c r="C381" s="34">
        <v>45888.0</v>
      </c>
      <c r="D381" s="35">
        <v>46014.0</v>
      </c>
      <c r="E381" s="34">
        <v>46263.0</v>
      </c>
      <c r="F381" s="35"/>
      <c r="G381" s="34"/>
      <c r="H381" s="35"/>
      <c r="I381" s="34"/>
      <c r="J381" s="35"/>
      <c r="K381" s="34"/>
      <c r="L381" s="35"/>
    </row>
    <row r="382">
      <c r="A382" s="28">
        <v>190.0</v>
      </c>
      <c r="B382" s="29">
        <f>IFERROR(__xludf.DUMMYFUNCTION("IF(ISBLANK(D383),"""",MAX(FILTER({D383;F383;H383;J383;L383}, ISNUMBER({D383;F383;H383;J383;L383}))))"),46149.0)</f>
        <v>46149</v>
      </c>
      <c r="C382" s="30" t="s">
        <v>13</v>
      </c>
      <c r="D382" s="31"/>
      <c r="E382" s="30" t="s">
        <v>13</v>
      </c>
      <c r="F382" s="31"/>
      <c r="G382" s="30"/>
      <c r="H382" s="31"/>
      <c r="I382" s="30"/>
      <c r="J382" s="31"/>
      <c r="K382" s="30"/>
      <c r="L382" s="31"/>
    </row>
    <row r="383">
      <c r="A383" s="32"/>
      <c r="B383" s="33"/>
      <c r="C383" s="34">
        <v>45538.0</v>
      </c>
      <c r="D383" s="35">
        <v>45590.0</v>
      </c>
      <c r="E383" s="34">
        <v>46004.0</v>
      </c>
      <c r="F383" s="35">
        <v>46149.0</v>
      </c>
      <c r="G383" s="34"/>
      <c r="H383" s="35"/>
      <c r="I383" s="34"/>
      <c r="J383" s="35"/>
      <c r="K383" s="34"/>
      <c r="L383" s="35"/>
    </row>
    <row r="384">
      <c r="A384" s="28">
        <v>191.0</v>
      </c>
      <c r="B384" s="29">
        <f>IFERROR(__xludf.DUMMYFUNCTION("IF(ISBLANK(D385),"""",MAX(FILTER({D385;F385;H385;J385;L385}, ISNUMBER({D385;F385;H385;J385;L385}))))"),46003.0)</f>
        <v>46003</v>
      </c>
      <c r="C384" s="30" t="s">
        <v>49</v>
      </c>
      <c r="D384" s="31"/>
      <c r="E384" s="30" t="s">
        <v>69</v>
      </c>
      <c r="F384" s="31"/>
      <c r="G384" s="30"/>
      <c r="H384" s="31"/>
      <c r="I384" s="30"/>
      <c r="J384" s="31"/>
      <c r="K384" s="30"/>
      <c r="L384" s="31"/>
    </row>
    <row r="385">
      <c r="A385" s="32"/>
      <c r="B385" s="33"/>
      <c r="C385" s="34">
        <v>45888.0</v>
      </c>
      <c r="D385" s="35">
        <v>46003.0</v>
      </c>
      <c r="E385" s="34">
        <v>46263.0</v>
      </c>
      <c r="F385" s="35"/>
      <c r="G385" s="34"/>
      <c r="H385" s="35"/>
      <c r="I385" s="34"/>
      <c r="J385" s="35"/>
      <c r="K385" s="34"/>
      <c r="L385" s="35"/>
    </row>
    <row r="386">
      <c r="A386" s="28">
        <v>192.0</v>
      </c>
      <c r="B386" s="29">
        <f>IFERROR(__xludf.DUMMYFUNCTION("IF(ISBLANK(D387),"""",MAX(FILTER({D387;F387;H387;J387;L387}, ISNUMBER({D387;F387;H387;J387;L387}))))"),45085.0)</f>
        <v>45085</v>
      </c>
      <c r="C386" s="30" t="s">
        <v>13</v>
      </c>
      <c r="D386" s="31"/>
      <c r="E386" s="30"/>
      <c r="F386" s="31"/>
      <c r="G386" s="30"/>
      <c r="H386" s="31"/>
      <c r="I386" s="30"/>
      <c r="J386" s="31"/>
      <c r="K386" s="30"/>
      <c r="L386" s="31"/>
    </row>
    <row r="387">
      <c r="A387" s="32"/>
      <c r="B387" s="33"/>
      <c r="C387" s="34">
        <v>45085.0</v>
      </c>
      <c r="D387" s="35">
        <v>45085.0</v>
      </c>
      <c r="E387" s="34"/>
      <c r="F387" s="35"/>
      <c r="G387" s="34"/>
      <c r="H387" s="35"/>
      <c r="I387" s="34"/>
      <c r="J387" s="35"/>
      <c r="K387" s="34"/>
      <c r="L387" s="35"/>
    </row>
    <row r="388">
      <c r="A388" s="28">
        <v>193.0</v>
      </c>
      <c r="B388" s="29">
        <f>IFERROR(__xludf.DUMMYFUNCTION("IF(ISBLANK(D389),"""",MAX(FILTER({D389;F389;H389;J389;L389}, ISNUMBER({D389;F389;H389;J389;L389}))))"),45590.0)</f>
        <v>45590</v>
      </c>
      <c r="C388" s="30" t="s">
        <v>87</v>
      </c>
      <c r="D388" s="31"/>
      <c r="E388" s="30"/>
      <c r="F388" s="31"/>
      <c r="G388" s="30"/>
      <c r="H388" s="31"/>
      <c r="I388" s="30"/>
      <c r="J388" s="31"/>
      <c r="K388" s="30"/>
      <c r="L388" s="31"/>
    </row>
    <row r="389">
      <c r="A389" s="32"/>
      <c r="B389" s="33"/>
      <c r="C389" s="34">
        <v>45570.0</v>
      </c>
      <c r="D389" s="35">
        <v>45590.0</v>
      </c>
      <c r="E389" s="34"/>
      <c r="F389" s="35"/>
      <c r="G389" s="34"/>
      <c r="H389" s="35"/>
      <c r="I389" s="34"/>
      <c r="J389" s="35"/>
      <c r="K389" s="34"/>
      <c r="L389" s="35"/>
    </row>
    <row r="390">
      <c r="A390" s="28">
        <v>194.0</v>
      </c>
      <c r="B390" s="29">
        <f>IFERROR(__xludf.DUMMYFUNCTION("IF(ISBLANK(D391),"""",MAX(FILTER({D391;F391;H391;J391;L391}, ISNUMBER({D391;F391;H391;J391;L391}))))"),46005.0)</f>
        <v>46005</v>
      </c>
      <c r="C390" s="30" t="s">
        <v>85</v>
      </c>
      <c r="D390" s="31"/>
      <c r="E390" s="30" t="s">
        <v>85</v>
      </c>
      <c r="F390" s="31"/>
      <c r="G390" s="30"/>
      <c r="H390" s="31"/>
      <c r="I390" s="30"/>
      <c r="J390" s="31"/>
      <c r="K390" s="30"/>
      <c r="L390" s="31"/>
    </row>
    <row r="391">
      <c r="A391" s="32"/>
      <c r="B391" s="33"/>
      <c r="C391" s="34">
        <v>45667.0</v>
      </c>
      <c r="D391" s="35">
        <v>45725.0</v>
      </c>
      <c r="E391" s="34">
        <v>45990.0</v>
      </c>
      <c r="F391" s="35">
        <v>46005.0</v>
      </c>
      <c r="G391" s="34"/>
      <c r="H391" s="35"/>
      <c r="I391" s="34"/>
      <c r="J391" s="35"/>
      <c r="K391" s="34"/>
      <c r="L391" s="35"/>
    </row>
    <row r="392">
      <c r="A392" s="28">
        <v>195.0</v>
      </c>
      <c r="B392" s="29">
        <f>IFERROR(__xludf.DUMMYFUNCTION("IF(ISBLANK(D393),"""",MAX(FILTER({D393;F393;H393;J393;L393}, ISNUMBER({D393;F393;H393;J393;L393}))))"),46106.0)</f>
        <v>46106</v>
      </c>
      <c r="C392" s="30" t="s">
        <v>85</v>
      </c>
      <c r="D392" s="31"/>
      <c r="E392" s="30" t="s">
        <v>87</v>
      </c>
      <c r="F392" s="31"/>
      <c r="G392" s="30"/>
      <c r="H392" s="31"/>
      <c r="I392" s="30"/>
      <c r="J392" s="31"/>
      <c r="K392" s="30"/>
      <c r="L392" s="31"/>
    </row>
    <row r="393">
      <c r="A393" s="32"/>
      <c r="B393" s="33"/>
      <c r="C393" s="34">
        <v>45597.0</v>
      </c>
      <c r="D393" s="35">
        <v>45632.0</v>
      </c>
      <c r="E393" s="34">
        <v>45976.0</v>
      </c>
      <c r="F393" s="35">
        <v>46106.0</v>
      </c>
      <c r="G393" s="34"/>
      <c r="H393" s="35"/>
      <c r="I393" s="34"/>
      <c r="J393" s="35"/>
      <c r="K393" s="34"/>
      <c r="L393" s="35"/>
    </row>
    <row r="394">
      <c r="A394" s="28">
        <v>196.0</v>
      </c>
      <c r="B394" s="29">
        <f>IFERROR(__xludf.DUMMYFUNCTION("IF(ISBLANK(D395),"""",MAX(FILTER({D395;F395;H395;J395;L395}, ISNUMBER({D395;F395;H395;J395;L395}))))"),46109.0)</f>
        <v>46109</v>
      </c>
      <c r="C394" s="30" t="s">
        <v>67</v>
      </c>
      <c r="D394" s="31"/>
      <c r="E394" s="30"/>
      <c r="F394" s="31"/>
      <c r="G394" s="30"/>
      <c r="H394" s="31"/>
      <c r="I394" s="30"/>
      <c r="J394" s="31"/>
      <c r="K394" s="30"/>
      <c r="L394" s="31"/>
    </row>
    <row r="395">
      <c r="A395" s="32"/>
      <c r="B395" s="33"/>
      <c r="C395" s="34">
        <v>45802.0</v>
      </c>
      <c r="D395" s="35">
        <v>46109.0</v>
      </c>
      <c r="E395" s="34"/>
      <c r="F395" s="35"/>
      <c r="G395" s="34"/>
      <c r="H395" s="35"/>
      <c r="I395" s="34"/>
      <c r="J395" s="35"/>
      <c r="K395" s="34"/>
      <c r="L395" s="35"/>
    </row>
    <row r="396">
      <c r="A396" s="28">
        <v>197.0</v>
      </c>
      <c r="B396" s="29">
        <f>IFERROR(__xludf.DUMMYFUNCTION("IF(ISBLANK(D397),"""",MAX(FILTER({D397;F397;H397;J397;L397}, ISNUMBER({D397;F397;H397;J397;L397}))))"),45865.0)</f>
        <v>45865</v>
      </c>
      <c r="C396" s="30" t="s">
        <v>87</v>
      </c>
      <c r="D396" s="31"/>
      <c r="E396" s="30" t="s">
        <v>44</v>
      </c>
      <c r="F396" s="31"/>
      <c r="G396" s="30"/>
      <c r="H396" s="31"/>
      <c r="I396" s="30"/>
      <c r="J396" s="31"/>
      <c r="K396" s="30"/>
      <c r="L396" s="31"/>
    </row>
    <row r="397">
      <c r="A397" s="32"/>
      <c r="B397" s="33"/>
      <c r="C397" s="34">
        <v>45746.0</v>
      </c>
      <c r="D397" s="35">
        <v>45865.0</v>
      </c>
      <c r="E397" s="34">
        <v>46091.0</v>
      </c>
      <c r="F397" s="35"/>
      <c r="G397" s="34"/>
      <c r="H397" s="35"/>
      <c r="I397" s="34"/>
      <c r="J397" s="35"/>
      <c r="K397" s="34"/>
      <c r="L397" s="35"/>
    </row>
    <row r="398">
      <c r="A398" s="28">
        <v>198.0</v>
      </c>
      <c r="B398" s="29">
        <f>IFERROR(__xludf.DUMMYFUNCTION("IF(ISBLANK(D399),"""",MAX(FILTER({D399;F399;H399;J399;L399}, ISNUMBER({D399;F399;H399;J399;L399}))))"),45929.0)</f>
        <v>45929</v>
      </c>
      <c r="C398" s="30" t="s">
        <v>87</v>
      </c>
      <c r="D398" s="31"/>
      <c r="E398" s="30"/>
      <c r="F398" s="31"/>
      <c r="G398" s="30"/>
      <c r="H398" s="31"/>
      <c r="I398" s="30"/>
      <c r="J398" s="31"/>
      <c r="K398" s="30"/>
      <c r="L398" s="31"/>
    </row>
    <row r="399">
      <c r="A399" s="32"/>
      <c r="B399" s="33"/>
      <c r="C399" s="34">
        <v>45455.0</v>
      </c>
      <c r="D399" s="35">
        <v>45929.0</v>
      </c>
      <c r="E399" s="34"/>
      <c r="F399" s="35"/>
      <c r="G399" s="34"/>
      <c r="H399" s="35"/>
      <c r="I399" s="34"/>
      <c r="J399" s="35"/>
      <c r="K399" s="34"/>
      <c r="L399" s="35"/>
    </row>
    <row r="400">
      <c r="A400" s="28">
        <v>199.0</v>
      </c>
      <c r="B400" s="29">
        <f>IFERROR(__xludf.DUMMYFUNCTION("IF(ISBLANK(D401),"""",MAX(FILTER({D401;F401;H401;J401;L401}, ISNUMBER({D401;F401;H401;J401;L401}))))"),46005.0)</f>
        <v>46005</v>
      </c>
      <c r="C400" s="30" t="s">
        <v>45</v>
      </c>
      <c r="D400" s="31"/>
      <c r="E400" s="30" t="s">
        <v>87</v>
      </c>
      <c r="F400" s="31"/>
      <c r="G400" s="30"/>
      <c r="H400" s="31"/>
      <c r="I400" s="30"/>
      <c r="J400" s="31"/>
      <c r="K400" s="30"/>
      <c r="L400" s="31"/>
    </row>
    <row r="401">
      <c r="A401" s="32"/>
      <c r="B401" s="33"/>
      <c r="C401" s="34">
        <v>45543.0</v>
      </c>
      <c r="D401" s="35">
        <v>45590.0</v>
      </c>
      <c r="E401" s="34">
        <v>45976.0</v>
      </c>
      <c r="F401" s="35">
        <v>46005.0</v>
      </c>
      <c r="G401" s="34"/>
      <c r="H401" s="35"/>
      <c r="I401" s="34"/>
      <c r="J401" s="35"/>
      <c r="K401" s="34"/>
      <c r="L401" s="35"/>
    </row>
    <row r="402">
      <c r="A402" s="28">
        <v>200.0</v>
      </c>
      <c r="B402" s="29">
        <f>IFERROR(__xludf.DUMMYFUNCTION("IF(ISBLANK(D403),"""",MAX(FILTER({D403;F403;H403;J403;L403}, ISNUMBER({D403;F403;H403;J403;L403}))))"),46130.0)</f>
        <v>46130</v>
      </c>
      <c r="C402" s="30" t="s">
        <v>85</v>
      </c>
      <c r="D402" s="31"/>
      <c r="E402" s="30" t="s">
        <v>45</v>
      </c>
      <c r="F402" s="31"/>
      <c r="G402" s="30"/>
      <c r="H402" s="31"/>
      <c r="I402" s="30"/>
      <c r="J402" s="31"/>
      <c r="K402" s="30"/>
      <c r="L402" s="31"/>
    </row>
    <row r="403">
      <c r="A403" s="32"/>
      <c r="B403" s="33"/>
      <c r="C403" s="34">
        <v>45667.0</v>
      </c>
      <c r="D403" s="35">
        <v>45725.0</v>
      </c>
      <c r="E403" s="34">
        <v>45979.0</v>
      </c>
      <c r="F403" s="35">
        <v>46130.0</v>
      </c>
      <c r="G403" s="34"/>
      <c r="H403" s="35"/>
      <c r="I403" s="34"/>
      <c r="J403" s="35"/>
      <c r="K403" s="34"/>
      <c r="L403" s="35"/>
    </row>
    <row r="404">
      <c r="A404" s="28">
        <v>201.0</v>
      </c>
      <c r="B404" s="29">
        <f>IFERROR(__xludf.DUMMYFUNCTION("IF(ISBLANK(D405),"""",MAX(FILTER({D405;F405;H405;J405;L405}, ISNUMBER({D405;F405;H405;J405;L405}))))"),45865.0)</f>
        <v>45865</v>
      </c>
      <c r="C404" s="30" t="s">
        <v>87</v>
      </c>
      <c r="D404" s="31"/>
      <c r="E404" s="30"/>
      <c r="F404" s="31"/>
      <c r="G404" s="30"/>
      <c r="H404" s="31"/>
      <c r="I404" s="30"/>
      <c r="J404" s="31"/>
      <c r="K404" s="30"/>
      <c r="L404" s="31"/>
    </row>
    <row r="405">
      <c r="A405" s="32"/>
      <c r="B405" s="33"/>
      <c r="C405" s="34">
        <v>45746.0</v>
      </c>
      <c r="D405" s="35">
        <v>45865.0</v>
      </c>
      <c r="E405" s="34"/>
      <c r="F405" s="35"/>
      <c r="G405" s="34"/>
      <c r="H405" s="35"/>
      <c r="I405" s="34"/>
      <c r="J405" s="35"/>
      <c r="K405" s="34"/>
      <c r="L405" s="35"/>
    </row>
    <row r="406">
      <c r="A406" s="28">
        <v>202.0</v>
      </c>
      <c r="B406" s="29">
        <f>IFERROR(__xludf.DUMMYFUNCTION("IF(ISBLANK(D407),"""",MAX(FILTER({D407;F407;H407;J407;L407}, ISNUMBER({D407;F407;H407;J407;L407}))))"),45929.0)</f>
        <v>45929</v>
      </c>
      <c r="C406" s="30" t="s">
        <v>87</v>
      </c>
      <c r="D406" s="31"/>
      <c r="E406" s="30"/>
      <c r="F406" s="31"/>
      <c r="G406" s="30"/>
      <c r="H406" s="31"/>
      <c r="I406" s="30"/>
      <c r="J406" s="31"/>
      <c r="K406" s="30"/>
      <c r="L406" s="31"/>
    </row>
    <row r="407">
      <c r="A407" s="32"/>
      <c r="B407" s="33"/>
      <c r="C407" s="34">
        <v>45455.0</v>
      </c>
      <c r="D407" s="35">
        <v>45929.0</v>
      </c>
      <c r="E407" s="34"/>
      <c r="F407" s="35"/>
      <c r="G407" s="34"/>
      <c r="H407" s="35"/>
      <c r="I407" s="34"/>
      <c r="J407" s="35"/>
      <c r="K407" s="34"/>
      <c r="L407" s="35"/>
    </row>
    <row r="408">
      <c r="A408" s="28">
        <v>203.0</v>
      </c>
      <c r="B408" s="29">
        <f>IFERROR(__xludf.DUMMYFUNCTION("IF(ISBLANK(D409),"""",MAX(FILTER({D409;F409;H409;J409;L409}, ISNUMBER({D409;F409;H409;J409;L409}))))"),46105.0)</f>
        <v>46105</v>
      </c>
      <c r="C408" s="30" t="s">
        <v>85</v>
      </c>
      <c r="D408" s="31"/>
      <c r="E408" s="30" t="s">
        <v>64</v>
      </c>
      <c r="F408" s="31"/>
      <c r="G408" s="30"/>
      <c r="H408" s="31"/>
      <c r="I408" s="30"/>
      <c r="J408" s="31"/>
      <c r="K408" s="30"/>
      <c r="L408" s="31"/>
    </row>
    <row r="409">
      <c r="A409" s="32"/>
      <c r="B409" s="33"/>
      <c r="C409" s="34">
        <v>45818.0</v>
      </c>
      <c r="D409" s="35">
        <v>45858.0</v>
      </c>
      <c r="E409" s="34">
        <v>46036.0</v>
      </c>
      <c r="F409" s="35">
        <v>46105.0</v>
      </c>
      <c r="G409" s="34"/>
      <c r="H409" s="35"/>
      <c r="I409" s="34"/>
      <c r="J409" s="35"/>
      <c r="K409" s="34"/>
      <c r="L409" s="35"/>
    </row>
    <row r="410">
      <c r="A410" s="28">
        <v>204.0</v>
      </c>
      <c r="B410" s="29">
        <f>IFERROR(__xludf.DUMMYFUNCTION("IF(ISBLANK(D411),"""",MAX(FILTER({D411;F411;H411;J411;L411}, ISNUMBER({D411;F411;H411;J411;L411}))))"),46122.0)</f>
        <v>46122</v>
      </c>
      <c r="C410" s="30" t="s">
        <v>13</v>
      </c>
      <c r="D410" s="31"/>
      <c r="E410" s="30" t="s">
        <v>85</v>
      </c>
      <c r="F410" s="31"/>
      <c r="G410" s="30"/>
      <c r="H410" s="31"/>
      <c r="I410" s="30"/>
      <c r="J410" s="31"/>
      <c r="K410" s="30"/>
      <c r="L410" s="31"/>
    </row>
    <row r="411">
      <c r="A411" s="32"/>
      <c r="B411" s="33"/>
      <c r="C411" s="34">
        <v>45648.0</v>
      </c>
      <c r="D411" s="35">
        <v>45774.0</v>
      </c>
      <c r="E411" s="34">
        <v>46113.0</v>
      </c>
      <c r="F411" s="35">
        <v>46122.0</v>
      </c>
      <c r="G411" s="34"/>
      <c r="H411" s="35"/>
      <c r="I411" s="34"/>
      <c r="J411" s="35"/>
      <c r="K411" s="34"/>
      <c r="L411" s="35"/>
    </row>
    <row r="412">
      <c r="A412" s="28">
        <v>205.0</v>
      </c>
      <c r="B412" s="29">
        <f>IFERROR(__xludf.DUMMYFUNCTION("IF(ISBLANK(D413),"""",MAX(FILTER({D413;F413;H413;J413;L413}, ISNUMBER({D413;F413;H413;J413;L413}))))"),46140.0)</f>
        <v>46140</v>
      </c>
      <c r="C412" s="30" t="s">
        <v>13</v>
      </c>
      <c r="D412" s="31"/>
      <c r="E412" s="30" t="s">
        <v>47</v>
      </c>
      <c r="F412" s="31"/>
      <c r="G412" s="30"/>
      <c r="H412" s="31"/>
      <c r="I412" s="30"/>
      <c r="J412" s="31"/>
      <c r="K412" s="30"/>
      <c r="L412" s="31"/>
    </row>
    <row r="413">
      <c r="A413" s="32"/>
      <c r="B413" s="33"/>
      <c r="C413" s="34">
        <v>45479.0</v>
      </c>
      <c r="D413" s="35">
        <v>45480.0</v>
      </c>
      <c r="E413" s="34">
        <v>46000.0</v>
      </c>
      <c r="F413" s="35">
        <v>46140.0</v>
      </c>
      <c r="G413" s="34"/>
      <c r="H413" s="35"/>
      <c r="I413" s="34"/>
      <c r="J413" s="35"/>
      <c r="K413" s="34"/>
      <c r="L413" s="35"/>
    </row>
    <row r="414">
      <c r="A414" s="28">
        <v>206.0</v>
      </c>
      <c r="B414" s="29">
        <f>IFERROR(__xludf.DUMMYFUNCTION("IF(ISBLANK(D415),"""",MAX(FILTER({D415;F415;H415;J415;L415}, ISNUMBER({D415;F415;H415;J415;L415}))))"),46105.0)</f>
        <v>46105</v>
      </c>
      <c r="C414" s="30" t="s">
        <v>13</v>
      </c>
      <c r="D414" s="31"/>
      <c r="E414" s="30" t="s">
        <v>64</v>
      </c>
      <c r="F414" s="31"/>
      <c r="G414" s="30"/>
      <c r="H414" s="31"/>
      <c r="I414" s="30"/>
      <c r="J414" s="31"/>
      <c r="K414" s="30"/>
      <c r="L414" s="31"/>
    </row>
    <row r="415">
      <c r="A415" s="32"/>
      <c r="B415" s="33"/>
      <c r="C415" s="34">
        <v>45538.0</v>
      </c>
      <c r="D415" s="35">
        <v>45590.0</v>
      </c>
      <c r="E415" s="34">
        <v>45976.0</v>
      </c>
      <c r="F415" s="35">
        <v>46105.0</v>
      </c>
      <c r="G415" s="34"/>
      <c r="H415" s="35"/>
      <c r="I415" s="34"/>
      <c r="J415" s="35"/>
      <c r="K415" s="34"/>
      <c r="L415" s="35"/>
    </row>
    <row r="416">
      <c r="A416" s="28">
        <v>207.0</v>
      </c>
      <c r="B416" s="29">
        <f>IFERROR(__xludf.DUMMYFUNCTION("IF(ISBLANK(D417),"""",MAX(FILTER({D417;F417;H417;J417;L417}, ISNUMBER({D417;F417;H417;J417;L417}))))"),45881.0)</f>
        <v>45881</v>
      </c>
      <c r="C416" s="30" t="s">
        <v>85</v>
      </c>
      <c r="D416" s="31"/>
      <c r="E416" s="30" t="s">
        <v>64</v>
      </c>
      <c r="F416" s="31"/>
      <c r="G416" s="30"/>
      <c r="H416" s="31"/>
      <c r="I416" s="30"/>
      <c r="J416" s="31"/>
      <c r="K416" s="30"/>
      <c r="L416" s="31"/>
    </row>
    <row r="417">
      <c r="A417" s="32"/>
      <c r="B417" s="33"/>
      <c r="C417" s="34">
        <v>45818.0</v>
      </c>
      <c r="D417" s="35">
        <v>45881.0</v>
      </c>
      <c r="E417" s="34">
        <v>46271.0</v>
      </c>
      <c r="F417" s="35"/>
      <c r="G417" s="34"/>
      <c r="H417" s="35"/>
      <c r="I417" s="34"/>
      <c r="J417" s="35"/>
      <c r="K417" s="34"/>
      <c r="L417" s="35"/>
    </row>
    <row r="418">
      <c r="A418" s="28">
        <v>208.0</v>
      </c>
      <c r="B418" s="29">
        <f>IFERROR(__xludf.DUMMYFUNCTION("IF(ISBLANK(D419),"""",MAX(FILTER({D419;F419;H419;J419;L419}, ISNUMBER({D419;F419;H419;J419;L419}))))"),45985.0)</f>
        <v>45985</v>
      </c>
      <c r="C418" s="30" t="s">
        <v>87</v>
      </c>
      <c r="D418" s="31"/>
      <c r="E418" s="30" t="s">
        <v>56</v>
      </c>
      <c r="F418" s="31"/>
      <c r="G418" s="30"/>
      <c r="H418" s="31"/>
      <c r="I418" s="30"/>
      <c r="J418" s="31"/>
      <c r="K418" s="30"/>
      <c r="L418" s="31"/>
    </row>
    <row r="419">
      <c r="A419" s="32"/>
      <c r="B419" s="33"/>
      <c r="C419" s="34">
        <v>45450.0</v>
      </c>
      <c r="D419" s="35">
        <v>45482.0</v>
      </c>
      <c r="E419" s="34">
        <v>42326.0</v>
      </c>
      <c r="F419" s="35">
        <v>45985.0</v>
      </c>
      <c r="G419" s="34"/>
      <c r="H419" s="35"/>
      <c r="I419" s="34"/>
      <c r="J419" s="35"/>
      <c r="K419" s="34"/>
      <c r="L419" s="35"/>
    </row>
    <row r="420">
      <c r="A420" s="28">
        <v>209.0</v>
      </c>
      <c r="B420" s="29">
        <f>IFERROR(__xludf.DUMMYFUNCTION("IF(ISBLANK(D421),"""",MAX(FILTER({D421;F421;H421;J421;L421}, ISNUMBER({D421;F421;H421;J421;L421}))))"),45732.0)</f>
        <v>45732</v>
      </c>
      <c r="C420" s="30" t="s">
        <v>49</v>
      </c>
      <c r="D420" s="31"/>
      <c r="E420" s="30" t="s">
        <v>64</v>
      </c>
      <c r="F420" s="31"/>
      <c r="G420" s="30"/>
      <c r="H420" s="31"/>
      <c r="I420" s="30"/>
      <c r="J420" s="31"/>
      <c r="K420" s="30"/>
      <c r="L420" s="31"/>
    </row>
    <row r="421">
      <c r="A421" s="32"/>
      <c r="B421" s="33"/>
      <c r="C421" s="34">
        <v>45708.0</v>
      </c>
      <c r="D421" s="35">
        <v>45732.0</v>
      </c>
      <c r="E421" s="34">
        <v>46261.0</v>
      </c>
      <c r="F421" s="35"/>
      <c r="G421" s="34"/>
      <c r="H421" s="35"/>
      <c r="I421" s="34"/>
      <c r="J421" s="35"/>
      <c r="K421" s="34"/>
      <c r="L421" s="35"/>
    </row>
    <row r="422">
      <c r="A422" s="28">
        <v>210.0</v>
      </c>
      <c r="B422" s="29">
        <f>IFERROR(__xludf.DUMMYFUNCTION("IF(ISBLANK(D423),"""",MAX(FILTER({D423;F423;H423;J423;L423}, ISNUMBER({D423;F423;H423;J423;L423}))))"),46005.0)</f>
        <v>46005</v>
      </c>
      <c r="C422" s="30" t="s">
        <v>69</v>
      </c>
      <c r="D422" s="31"/>
      <c r="E422" s="30" t="s">
        <v>87</v>
      </c>
      <c r="F422" s="31"/>
      <c r="G422" s="30" t="s">
        <v>64</v>
      </c>
      <c r="H422" s="31"/>
      <c r="I422" s="30"/>
      <c r="J422" s="31"/>
      <c r="K422" s="30"/>
      <c r="L422" s="31"/>
    </row>
    <row r="423">
      <c r="A423" s="32"/>
      <c r="B423" s="33"/>
      <c r="C423" s="34">
        <v>45562.0</v>
      </c>
      <c r="D423" s="35">
        <v>45647.0</v>
      </c>
      <c r="E423" s="34">
        <v>45976.0</v>
      </c>
      <c r="F423" s="35">
        <v>46005.0</v>
      </c>
      <c r="G423" s="34">
        <v>46261.0</v>
      </c>
      <c r="H423" s="35"/>
      <c r="I423" s="34"/>
      <c r="J423" s="35"/>
      <c r="K423" s="34"/>
      <c r="L423" s="35"/>
    </row>
    <row r="424">
      <c r="A424" s="28">
        <v>211.0</v>
      </c>
      <c r="B424" s="29">
        <f>IFERROR(__xludf.DUMMYFUNCTION("IF(ISBLANK(D425),"""",MAX(FILTER({D425;F425;H425;J425;L425}, ISNUMBER({D425;F425;H425;J425;L425}))))"),46005.0)</f>
        <v>46005</v>
      </c>
      <c r="C424" s="30" t="s">
        <v>96</v>
      </c>
      <c r="D424" s="31"/>
      <c r="E424" s="30" t="s">
        <v>13</v>
      </c>
      <c r="F424" s="31"/>
      <c r="G424" s="30" t="s">
        <v>43</v>
      </c>
      <c r="H424" s="31"/>
      <c r="I424" s="30"/>
      <c r="J424" s="31"/>
      <c r="K424" s="30"/>
      <c r="L424" s="31"/>
    </row>
    <row r="425">
      <c r="A425" s="32"/>
      <c r="B425" s="33"/>
      <c r="C425" s="34">
        <v>45561.0</v>
      </c>
      <c r="D425" s="35">
        <v>45646.0</v>
      </c>
      <c r="E425" s="34">
        <v>45946.0</v>
      </c>
      <c r="F425" s="35">
        <v>46005.0</v>
      </c>
      <c r="G425" s="34">
        <v>46270.0</v>
      </c>
      <c r="H425" s="35"/>
      <c r="I425" s="34"/>
      <c r="J425" s="35"/>
      <c r="K425" s="34"/>
      <c r="L425" s="35"/>
    </row>
    <row r="426">
      <c r="A426" s="28">
        <v>212.0</v>
      </c>
      <c r="B426" s="29">
        <f>IFERROR(__xludf.DUMMYFUNCTION("IF(ISBLANK(D427),"""",MAX(FILTER({D427;F427;H427;J427;L427}, ISNUMBER({D427;F427;H427;J427;L427}))))"),46088.0)</f>
        <v>46088</v>
      </c>
      <c r="C426" s="30" t="s">
        <v>85</v>
      </c>
      <c r="D426" s="31"/>
      <c r="E426" s="30" t="s">
        <v>87</v>
      </c>
      <c r="F426" s="31"/>
      <c r="G426" s="30"/>
      <c r="H426" s="31"/>
      <c r="I426" s="30"/>
      <c r="J426" s="31"/>
      <c r="K426" s="30"/>
      <c r="L426" s="31"/>
    </row>
    <row r="427">
      <c r="A427" s="32"/>
      <c r="B427" s="33"/>
      <c r="C427" s="34">
        <v>45654.0</v>
      </c>
      <c r="D427" s="35">
        <v>45776.0</v>
      </c>
      <c r="E427" s="34">
        <v>46038.0</v>
      </c>
      <c r="F427" s="35">
        <v>46088.0</v>
      </c>
      <c r="G427" s="34"/>
      <c r="H427" s="35"/>
      <c r="I427" s="34"/>
      <c r="J427" s="35"/>
      <c r="K427" s="34"/>
      <c r="L427" s="35"/>
    </row>
    <row r="428">
      <c r="A428" s="28">
        <v>213.0</v>
      </c>
      <c r="B428" s="29">
        <f>IFERROR(__xludf.DUMMYFUNCTION("IF(ISBLANK(D429),"""",MAX(FILTER({D429;F429;H429;J429;L429}, ISNUMBER({D429;F429;H429;J429;L429}))))"),46088.0)</f>
        <v>46088</v>
      </c>
      <c r="C428" s="30" t="s">
        <v>21</v>
      </c>
      <c r="D428" s="31"/>
      <c r="E428" s="30" t="s">
        <v>64</v>
      </c>
      <c r="F428" s="31"/>
      <c r="G428" s="30"/>
      <c r="H428" s="31"/>
      <c r="I428" s="30"/>
      <c r="J428" s="31"/>
      <c r="K428" s="30"/>
      <c r="L428" s="31"/>
    </row>
    <row r="429">
      <c r="A429" s="32"/>
      <c r="B429" s="33"/>
      <c r="C429" s="34">
        <v>45541.0</v>
      </c>
      <c r="D429" s="35">
        <v>45606.0</v>
      </c>
      <c r="E429" s="34">
        <v>45976.0</v>
      </c>
      <c r="F429" s="35">
        <v>46088.0</v>
      </c>
      <c r="G429" s="34"/>
      <c r="H429" s="35"/>
      <c r="I429" s="34"/>
      <c r="J429" s="35"/>
      <c r="K429" s="34"/>
      <c r="L429" s="35"/>
    </row>
    <row r="430">
      <c r="A430" s="28">
        <v>214.0</v>
      </c>
      <c r="B430" s="29">
        <f>IFERROR(__xludf.DUMMYFUNCTION("IF(ISBLANK(D431),"""",MAX(FILTER({D431;F431;H431;J431;L431}, ISNUMBER({D431;F431;H431;J431;L431}))))"),46106.0)</f>
        <v>46106</v>
      </c>
      <c r="C430" s="30" t="s">
        <v>87</v>
      </c>
      <c r="D430" s="31"/>
      <c r="E430" s="30" t="s">
        <v>87</v>
      </c>
      <c r="F430" s="31"/>
      <c r="G430" s="30"/>
      <c r="H430" s="31"/>
      <c r="I430" s="30"/>
      <c r="J430" s="31"/>
      <c r="K430" s="30"/>
      <c r="L430" s="31"/>
    </row>
    <row r="431">
      <c r="A431" s="32"/>
      <c r="B431" s="33"/>
      <c r="C431" s="34">
        <v>45679.0</v>
      </c>
      <c r="D431" s="35">
        <v>45720.0</v>
      </c>
      <c r="E431" s="34">
        <v>46038.0</v>
      </c>
      <c r="F431" s="35">
        <v>46106.0</v>
      </c>
      <c r="G431" s="34"/>
      <c r="H431" s="35"/>
      <c r="I431" s="34"/>
      <c r="J431" s="35"/>
      <c r="K431" s="34"/>
      <c r="L431" s="35"/>
    </row>
    <row r="432">
      <c r="A432" s="28">
        <v>215.0</v>
      </c>
      <c r="B432" s="29">
        <f>IFERROR(__xludf.DUMMYFUNCTION("IF(ISBLANK(D433),"""",MAX(FILTER({D433;F433;H433;J433;L433}, ISNUMBER({D433;F433;H433;J433;L433}))))"),46005.0)</f>
        <v>46005</v>
      </c>
      <c r="C432" s="30" t="s">
        <v>100</v>
      </c>
      <c r="D432" s="31"/>
      <c r="E432" s="30" t="s">
        <v>87</v>
      </c>
      <c r="F432" s="31"/>
      <c r="G432" s="30" t="s">
        <v>64</v>
      </c>
      <c r="H432" s="31"/>
      <c r="I432" s="30"/>
      <c r="J432" s="31"/>
      <c r="K432" s="30"/>
      <c r="L432" s="31"/>
    </row>
    <row r="433">
      <c r="A433" s="32"/>
      <c r="B433" s="33"/>
      <c r="C433" s="34">
        <v>45326.0</v>
      </c>
      <c r="D433" s="35">
        <v>45482.0</v>
      </c>
      <c r="E433" s="34">
        <v>45976.0</v>
      </c>
      <c r="F433" s="35">
        <v>46005.0</v>
      </c>
      <c r="G433" s="34">
        <v>46261.0</v>
      </c>
      <c r="H433" s="35"/>
      <c r="I433" s="34"/>
      <c r="J433" s="35"/>
      <c r="K433" s="34"/>
      <c r="L433" s="35"/>
    </row>
    <row r="434">
      <c r="A434" s="28">
        <v>216.0</v>
      </c>
      <c r="B434" s="29">
        <f>IFERROR(__xludf.DUMMYFUNCTION("IF(ISBLANK(D435),"""",MAX(FILTER({D435;F435;H435;J435;L435}, ISNUMBER({D435;F435;H435;J435;L435}))))"),46082.0)</f>
        <v>46082</v>
      </c>
      <c r="C434" s="30" t="s">
        <v>100</v>
      </c>
      <c r="D434" s="31"/>
      <c r="E434" s="30" t="s">
        <v>44</v>
      </c>
      <c r="F434" s="31"/>
      <c r="G434" s="30"/>
      <c r="H434" s="31"/>
      <c r="I434" s="30"/>
      <c r="J434" s="31"/>
      <c r="K434" s="30"/>
      <c r="L434" s="31"/>
    </row>
    <row r="435">
      <c r="A435" s="32"/>
      <c r="B435" s="33"/>
      <c r="C435" s="34">
        <v>45485.0</v>
      </c>
      <c r="D435" s="35">
        <v>45550.0</v>
      </c>
      <c r="E435" s="34">
        <v>45965.0</v>
      </c>
      <c r="F435" s="35">
        <v>46082.0</v>
      </c>
      <c r="G435" s="34"/>
      <c r="H435" s="35"/>
      <c r="I435" s="34"/>
      <c r="J435" s="35"/>
      <c r="K435" s="34"/>
      <c r="L435" s="35"/>
    </row>
    <row r="436">
      <c r="A436" s="28">
        <v>217.0</v>
      </c>
      <c r="B436" s="29">
        <f>IFERROR(__xludf.DUMMYFUNCTION("IF(ISBLANK(D437),"""",MAX(FILTER({D437;F437;H437;J437;L437}, ISNUMBER({D437;F437;H437;J437;L437}))))"),46106.0)</f>
        <v>46106</v>
      </c>
      <c r="C436" s="30" t="s">
        <v>85</v>
      </c>
      <c r="D436" s="31"/>
      <c r="E436" s="30" t="s">
        <v>87</v>
      </c>
      <c r="F436" s="31"/>
      <c r="G436" s="30"/>
      <c r="H436" s="31"/>
      <c r="I436" s="30"/>
      <c r="J436" s="31"/>
      <c r="K436" s="30"/>
      <c r="L436" s="31"/>
    </row>
    <row r="437">
      <c r="A437" s="32"/>
      <c r="B437" s="33"/>
      <c r="C437" s="34">
        <v>45466.0</v>
      </c>
      <c r="D437" s="35">
        <v>45549.0</v>
      </c>
      <c r="E437" s="34">
        <v>46005.0</v>
      </c>
      <c r="F437" s="35">
        <v>46106.0</v>
      </c>
      <c r="G437" s="34"/>
      <c r="H437" s="35"/>
      <c r="I437" s="34"/>
      <c r="J437" s="35"/>
      <c r="K437" s="34"/>
      <c r="L437" s="35"/>
    </row>
    <row r="438">
      <c r="A438" s="28">
        <v>218.0</v>
      </c>
      <c r="B438" s="29">
        <f>IFERROR(__xludf.DUMMYFUNCTION("IF(ISBLANK(D439),"""",MAX(FILTER({D439;F439;H439;J439;L439}, ISNUMBER({D439;F439;H439;J439;L439}))))"),45818.0)</f>
        <v>45818</v>
      </c>
      <c r="C438" s="30" t="s">
        <v>49</v>
      </c>
      <c r="D438" s="31"/>
      <c r="E438" s="30" t="s">
        <v>44</v>
      </c>
      <c r="F438" s="31"/>
      <c r="G438" s="30"/>
      <c r="H438" s="31"/>
      <c r="I438" s="30"/>
      <c r="J438" s="31"/>
      <c r="K438" s="30"/>
      <c r="L438" s="31"/>
    </row>
    <row r="439">
      <c r="A439" s="32"/>
      <c r="B439" s="33"/>
      <c r="C439" s="34">
        <v>45708.0</v>
      </c>
      <c r="D439" s="35">
        <v>45818.0</v>
      </c>
      <c r="E439" s="34">
        <v>46269.0</v>
      </c>
      <c r="F439" s="35"/>
      <c r="G439" s="34"/>
      <c r="H439" s="35"/>
      <c r="I439" s="34"/>
      <c r="J439" s="35"/>
      <c r="K439" s="34"/>
      <c r="L439" s="35"/>
    </row>
    <row r="440">
      <c r="A440" s="28">
        <v>219.0</v>
      </c>
      <c r="B440" s="29">
        <f>IFERROR(__xludf.DUMMYFUNCTION("IF(ISBLANK(D441),"""",MAX(FILTER({D441;F441;H441;J441;L441}, ISNUMBER({D441;F441;H441;J441;L441}))))"),45978.0)</f>
        <v>45978</v>
      </c>
      <c r="C440" s="30" t="s">
        <v>87</v>
      </c>
      <c r="D440" s="31"/>
      <c r="E440" s="30"/>
      <c r="F440" s="31"/>
      <c r="G440" s="30"/>
      <c r="H440" s="31"/>
      <c r="I440" s="30"/>
      <c r="J440" s="31"/>
      <c r="K440" s="30"/>
      <c r="L440" s="31"/>
    </row>
    <row r="441">
      <c r="A441" s="32"/>
      <c r="B441" s="33"/>
      <c r="C441" s="34">
        <v>45940.0</v>
      </c>
      <c r="D441" s="35">
        <v>45978.0</v>
      </c>
      <c r="E441" s="34"/>
      <c r="F441" s="35"/>
      <c r="G441" s="34"/>
      <c r="H441" s="35"/>
      <c r="I441" s="34"/>
      <c r="J441" s="35"/>
      <c r="K441" s="34"/>
      <c r="L441" s="35"/>
    </row>
    <row r="442">
      <c r="A442" s="28">
        <v>220.0</v>
      </c>
      <c r="B442" s="29">
        <f>IFERROR(__xludf.DUMMYFUNCTION("IF(ISBLANK(D443),"""",MAX(FILTER({D443;F443;H443;J443;L443}, ISNUMBER({D443;F443;H443;J443;L443}))))"),46088.0)</f>
        <v>46088</v>
      </c>
      <c r="C442" s="30" t="s">
        <v>38</v>
      </c>
      <c r="D442" s="31"/>
      <c r="E442" s="30"/>
      <c r="F442" s="31"/>
      <c r="G442" s="30"/>
      <c r="H442" s="31"/>
      <c r="I442" s="30"/>
      <c r="J442" s="31"/>
      <c r="K442" s="30"/>
      <c r="L442" s="31"/>
    </row>
    <row r="443">
      <c r="A443" s="32"/>
      <c r="B443" s="33"/>
      <c r="C443" s="34">
        <v>45937.0</v>
      </c>
      <c r="D443" s="35">
        <v>46088.0</v>
      </c>
      <c r="E443" s="34"/>
      <c r="F443" s="35"/>
      <c r="G443" s="34"/>
      <c r="H443" s="35"/>
      <c r="I443" s="34"/>
      <c r="J443" s="35"/>
      <c r="K443" s="34"/>
      <c r="L443" s="35"/>
    </row>
    <row r="444">
      <c r="A444" s="28">
        <v>221.0</v>
      </c>
      <c r="B444" s="29">
        <f>IFERROR(__xludf.DUMMYFUNCTION("IF(ISBLANK(D445),"""",MAX(FILTER({D445;F445;H445;J445;L445}, ISNUMBER({D445;F445;H445;J445;L445}))))"),45697.0)</f>
        <v>45697</v>
      </c>
      <c r="C444" s="30" t="s">
        <v>87</v>
      </c>
      <c r="D444" s="31"/>
      <c r="E444" s="30"/>
      <c r="F444" s="31"/>
      <c r="G444" s="30"/>
      <c r="H444" s="31"/>
      <c r="I444" s="30"/>
      <c r="J444" s="31"/>
      <c r="K444" s="30"/>
      <c r="L444" s="31"/>
    </row>
    <row r="445">
      <c r="A445" s="32"/>
      <c r="B445" s="33"/>
      <c r="C445" s="34">
        <v>45597.0</v>
      </c>
      <c r="D445" s="35">
        <v>45697.0</v>
      </c>
      <c r="E445" s="34"/>
      <c r="F445" s="35"/>
      <c r="G445" s="34"/>
      <c r="H445" s="35"/>
      <c r="I445" s="34"/>
      <c r="J445" s="35"/>
      <c r="K445" s="34"/>
      <c r="L445" s="35"/>
    </row>
    <row r="446">
      <c r="A446" s="28">
        <v>222.0</v>
      </c>
      <c r="B446" s="29">
        <f>IFERROR(__xludf.DUMMYFUNCTION("IF(ISBLANK(D447),"""",MAX(FILTER({D447;F447;H447;J447;L447}, ISNUMBER({D447;F447;H447;J447;L447}))))"),45978.0)</f>
        <v>45978</v>
      </c>
      <c r="C446" s="30" t="s">
        <v>87</v>
      </c>
      <c r="D446" s="31"/>
      <c r="E446" s="30" t="s">
        <v>87</v>
      </c>
      <c r="F446" s="31"/>
      <c r="G446" s="30"/>
      <c r="H446" s="31"/>
      <c r="I446" s="30"/>
      <c r="J446" s="31"/>
      <c r="K446" s="30"/>
      <c r="L446" s="31"/>
    </row>
    <row r="447">
      <c r="A447" s="32"/>
      <c r="B447" s="33"/>
      <c r="C447" s="34">
        <v>45940.0</v>
      </c>
      <c r="D447" s="35">
        <v>45978.0</v>
      </c>
      <c r="E447" s="34">
        <v>46193.0</v>
      </c>
      <c r="F447" s="35"/>
      <c r="G447" s="34"/>
      <c r="H447" s="35"/>
      <c r="I447" s="34"/>
      <c r="J447" s="35"/>
      <c r="K447" s="34"/>
      <c r="L447" s="35"/>
    </row>
    <row r="448">
      <c r="A448" s="28">
        <v>223.0</v>
      </c>
      <c r="B448" s="29">
        <f>IFERROR(__xludf.DUMMYFUNCTION("IF(ISBLANK(D449),"""",MAX(FILTER({D449;F449;H449;J449;L449}, ISNUMBER({D449;F449;H449;J449;L449}))))"),45929.0)</f>
        <v>45929</v>
      </c>
      <c r="C448" s="30" t="s">
        <v>87</v>
      </c>
      <c r="D448" s="31"/>
      <c r="E448" s="30" t="s">
        <v>87</v>
      </c>
      <c r="F448" s="31"/>
      <c r="G448" s="30"/>
      <c r="H448" s="31"/>
      <c r="I448" s="30"/>
      <c r="J448" s="31"/>
      <c r="K448" s="30"/>
      <c r="L448" s="31"/>
    </row>
    <row r="449">
      <c r="A449" s="32"/>
      <c r="B449" s="33"/>
      <c r="C449" s="34">
        <v>45478.0</v>
      </c>
      <c r="D449" s="35">
        <v>45929.0</v>
      </c>
      <c r="E449" s="34">
        <v>46193.0</v>
      </c>
      <c r="F449" s="35"/>
      <c r="G449" s="34"/>
      <c r="H449" s="35"/>
      <c r="I449" s="34"/>
      <c r="J449" s="35"/>
      <c r="K449" s="34"/>
      <c r="L449" s="35"/>
    </row>
    <row r="450">
      <c r="A450" s="28">
        <v>224.0</v>
      </c>
      <c r="B450" s="29">
        <f>IFERROR(__xludf.DUMMYFUNCTION("IF(ISBLANK(D451),"""",MAX(FILTER({D451;F451;H451;J451;L451}, ISNUMBER({D451;F451;H451;J451;L451}))))"),45727.0)</f>
        <v>45727</v>
      </c>
      <c r="C450" s="30" t="s">
        <v>87</v>
      </c>
      <c r="D450" s="31"/>
      <c r="E450" s="30" t="s">
        <v>43</v>
      </c>
      <c r="F450" s="31"/>
      <c r="G450" s="30"/>
      <c r="H450" s="31"/>
      <c r="I450" s="30"/>
      <c r="J450" s="31"/>
      <c r="K450" s="30"/>
      <c r="L450" s="31"/>
    </row>
    <row r="451">
      <c r="A451" s="32"/>
      <c r="B451" s="33"/>
      <c r="C451" s="34">
        <v>45679.0</v>
      </c>
      <c r="D451" s="35">
        <v>45727.0</v>
      </c>
      <c r="E451" s="34">
        <v>46270.0</v>
      </c>
      <c r="F451" s="35"/>
      <c r="G451" s="34"/>
      <c r="H451" s="35"/>
      <c r="I451" s="34"/>
      <c r="J451" s="35"/>
      <c r="K451" s="34"/>
      <c r="L451" s="35"/>
    </row>
    <row r="452">
      <c r="A452" s="28">
        <v>225.0</v>
      </c>
      <c r="B452" s="29">
        <f>IFERROR(__xludf.DUMMYFUNCTION("IF(ISBLANK(D453),"""",MAX(FILTER({D453;F453;H453;J453;L453}, ISNUMBER({D453;F453;H453;J453;L453}))))"),45590.0)</f>
        <v>45590</v>
      </c>
      <c r="C452" s="30" t="s">
        <v>13</v>
      </c>
      <c r="D452" s="31"/>
      <c r="E452" s="30"/>
      <c r="F452" s="31"/>
      <c r="G452" s="30"/>
      <c r="H452" s="31"/>
      <c r="I452" s="30"/>
      <c r="J452" s="31"/>
      <c r="K452" s="30"/>
      <c r="L452" s="31"/>
    </row>
    <row r="453">
      <c r="A453" s="32"/>
      <c r="B453" s="33"/>
      <c r="C453" s="34">
        <v>45538.0</v>
      </c>
      <c r="D453" s="35">
        <v>45590.0</v>
      </c>
      <c r="E453" s="34"/>
      <c r="F453" s="35"/>
      <c r="G453" s="34"/>
      <c r="H453" s="35"/>
      <c r="I453" s="34"/>
      <c r="J453" s="35"/>
      <c r="K453" s="34"/>
      <c r="L453" s="35"/>
    </row>
    <row r="454">
      <c r="A454" s="28">
        <v>226.0</v>
      </c>
      <c r="B454" s="29">
        <f>IFERROR(__xludf.DUMMYFUNCTION("IF(ISBLANK(D455),"""",MAX(FILTER({D455;F455;H455;J455;L455}, ISNUMBER({D455;F455;H455;J455;L455}))))"),45597.0)</f>
        <v>45597</v>
      </c>
      <c r="C454" s="30" t="s">
        <v>85</v>
      </c>
      <c r="D454" s="31"/>
      <c r="E454" s="30" t="s">
        <v>11</v>
      </c>
      <c r="F454" s="31"/>
      <c r="G454" s="30"/>
      <c r="H454" s="31"/>
      <c r="I454" s="30"/>
      <c r="J454" s="31"/>
      <c r="K454" s="30"/>
      <c r="L454" s="31"/>
    </row>
    <row r="455">
      <c r="A455" s="32"/>
      <c r="B455" s="33"/>
      <c r="C455" s="34">
        <v>45469.0</v>
      </c>
      <c r="D455" s="35">
        <v>45597.0</v>
      </c>
      <c r="E455" s="34">
        <v>46270.0</v>
      </c>
      <c r="F455" s="35"/>
      <c r="G455" s="34"/>
      <c r="H455" s="35"/>
      <c r="I455" s="34"/>
      <c r="J455" s="35"/>
      <c r="K455" s="34"/>
      <c r="L455" s="35"/>
    </row>
    <row r="456">
      <c r="A456" s="28">
        <v>227.0</v>
      </c>
      <c r="B456" s="29">
        <f>IFERROR(__xludf.DUMMYFUNCTION("IF(ISBLANK(D457),"""",MAX(FILTER({D457;F457;H457;J457;L457}, ISNUMBER({D457;F457;H457;J457;L457}))))"),45818.0)</f>
        <v>45818</v>
      </c>
      <c r="C456" s="30" t="s">
        <v>64</v>
      </c>
      <c r="D456" s="31"/>
      <c r="E456" s="30" t="s">
        <v>87</v>
      </c>
      <c r="F456" s="31"/>
      <c r="G456" s="30"/>
      <c r="H456" s="31"/>
      <c r="I456" s="30"/>
      <c r="J456" s="31"/>
      <c r="K456" s="30"/>
      <c r="L456" s="31"/>
    </row>
    <row r="457">
      <c r="A457" s="32"/>
      <c r="B457" s="33"/>
      <c r="C457" s="34">
        <v>45759.0</v>
      </c>
      <c r="D457" s="35">
        <v>45818.0</v>
      </c>
      <c r="E457" s="34">
        <v>46249.0</v>
      </c>
      <c r="F457" s="35"/>
      <c r="G457" s="34"/>
      <c r="H457" s="35"/>
      <c r="I457" s="34"/>
      <c r="J457" s="35"/>
      <c r="K457" s="34"/>
      <c r="L457" s="35"/>
    </row>
    <row r="458">
      <c r="A458" s="28">
        <v>228.0</v>
      </c>
      <c r="B458" s="29">
        <f>IFERROR(__xludf.DUMMYFUNCTION("IF(ISBLANK(D459),"""",MAX(FILTER({D459;F459;H459;J459;L459}, ISNUMBER({D459;F459;H459;J459;L459}))))"),46180.0)</f>
        <v>46180</v>
      </c>
      <c r="C458" s="30" t="s">
        <v>59</v>
      </c>
      <c r="D458" s="31"/>
      <c r="E458" s="30" t="s">
        <v>64</v>
      </c>
      <c r="F458" s="31"/>
      <c r="G458" s="30"/>
      <c r="H458" s="31"/>
      <c r="I458" s="30"/>
      <c r="J458" s="31"/>
      <c r="K458" s="30"/>
      <c r="L458" s="31"/>
    </row>
    <row r="459">
      <c r="A459" s="32"/>
      <c r="B459" s="33"/>
      <c r="C459" s="34">
        <v>45536.0</v>
      </c>
      <c r="D459" s="35">
        <v>45646.0</v>
      </c>
      <c r="E459" s="34">
        <v>45976.0</v>
      </c>
      <c r="F459" s="35">
        <v>46180.0</v>
      </c>
      <c r="G459" s="34"/>
      <c r="H459" s="35"/>
      <c r="I459" s="34"/>
      <c r="J459" s="35"/>
      <c r="K459" s="34"/>
      <c r="L459" s="35"/>
    </row>
    <row r="460">
      <c r="A460" s="28">
        <v>229.0</v>
      </c>
      <c r="B460" s="29">
        <f>IFERROR(__xludf.DUMMYFUNCTION("IF(ISBLANK(D461),"""",MAX(FILTER({D461;F461;H461;J461;L461}, ISNUMBER({D461;F461;H461;J461;L461}))))"),46081.0)</f>
        <v>46081</v>
      </c>
      <c r="C460" s="30" t="s">
        <v>38</v>
      </c>
      <c r="D460" s="31"/>
      <c r="E460" s="30"/>
      <c r="F460" s="31"/>
      <c r="G460" s="30"/>
      <c r="H460" s="31"/>
      <c r="I460" s="30"/>
      <c r="J460" s="31"/>
      <c r="K460" s="30"/>
      <c r="L460" s="31"/>
    </row>
    <row r="461">
      <c r="A461" s="32"/>
      <c r="B461" s="33"/>
      <c r="C461" s="34">
        <v>45940.0</v>
      </c>
      <c r="D461" s="35">
        <v>46081.0</v>
      </c>
      <c r="E461" s="34"/>
      <c r="F461" s="35"/>
      <c r="G461" s="34"/>
      <c r="H461" s="35"/>
      <c r="I461" s="34"/>
      <c r="J461" s="35"/>
      <c r="K461" s="34"/>
      <c r="L461" s="35"/>
    </row>
    <row r="462">
      <c r="A462" s="28">
        <v>230.0</v>
      </c>
      <c r="B462" s="29" t="str">
        <f>IFERROR(__xludf.DUMMYFUNCTION("IF(ISBLANK(D463),"""",MAX(FILTER({D463;F463;H463;J463;L463}, ISNUMBER({D463;F463;H463;J463;L463}))))"),"")</f>
        <v/>
      </c>
      <c r="C462" s="30" t="s">
        <v>13</v>
      </c>
      <c r="D462" s="31"/>
      <c r="E462" s="30"/>
      <c r="F462" s="31"/>
      <c r="G462" s="30"/>
      <c r="H462" s="31"/>
      <c r="I462" s="30"/>
      <c r="J462" s="31"/>
      <c r="K462" s="30"/>
      <c r="L462" s="31"/>
    </row>
    <row r="463">
      <c r="A463" s="32"/>
      <c r="B463" s="33"/>
      <c r="C463" s="34">
        <v>45930.0</v>
      </c>
      <c r="D463" s="35"/>
      <c r="E463" s="34"/>
      <c r="F463" s="35"/>
      <c r="G463" s="34"/>
      <c r="H463" s="35"/>
      <c r="I463" s="34"/>
      <c r="J463" s="35"/>
      <c r="K463" s="34"/>
      <c r="L463" s="35"/>
    </row>
    <row r="464">
      <c r="A464" s="28" t="s">
        <v>101</v>
      </c>
      <c r="B464" s="29">
        <f>IFERROR(__xludf.DUMMYFUNCTION("IF(ISBLANK(D465),"""",MAX(FILTER({D465;F465;H465;J465;L465}, ISNUMBER({D465;F465;H465;J465;L465}))))"),45914.0)</f>
        <v>45914</v>
      </c>
      <c r="C464" s="30" t="s">
        <v>85</v>
      </c>
      <c r="D464" s="31"/>
      <c r="E464" s="30" t="s">
        <v>49</v>
      </c>
      <c r="F464" s="31"/>
      <c r="G464" s="30"/>
      <c r="H464" s="31"/>
      <c r="I464" s="30"/>
      <c r="J464" s="31"/>
      <c r="K464" s="30"/>
      <c r="L464" s="31"/>
    </row>
    <row r="465">
      <c r="A465" s="32"/>
      <c r="B465" s="33"/>
      <c r="C465" s="34">
        <v>45732.0</v>
      </c>
      <c r="D465" s="35">
        <v>45914.0</v>
      </c>
      <c r="E465" s="34">
        <v>46169.0</v>
      </c>
      <c r="F465" s="35"/>
      <c r="G465" s="34"/>
      <c r="H465" s="35"/>
      <c r="I465" s="34"/>
      <c r="J465" s="35"/>
      <c r="K465" s="34"/>
      <c r="L465" s="35"/>
    </row>
    <row r="466">
      <c r="A466" s="28" t="s">
        <v>102</v>
      </c>
      <c r="B466" s="29">
        <f>IFERROR(__xludf.DUMMYFUNCTION("IF(ISBLANK(D467),"""",MAX(FILTER({D467;F467;H467;J467;L467}, ISNUMBER({D467;F467;H467;J467;L467}))))"),45914.0)</f>
        <v>45914</v>
      </c>
      <c r="C466" s="30" t="s">
        <v>85</v>
      </c>
      <c r="D466" s="31"/>
      <c r="E466" s="30" t="s">
        <v>5</v>
      </c>
      <c r="F466" s="31"/>
      <c r="G466" s="30"/>
      <c r="H466" s="31"/>
      <c r="I466" s="30"/>
      <c r="J466" s="31"/>
      <c r="K466" s="30"/>
      <c r="L466" s="31"/>
    </row>
    <row r="467">
      <c r="A467" s="32"/>
      <c r="B467" s="33"/>
      <c r="C467" s="34">
        <v>45732.0</v>
      </c>
      <c r="D467" s="35">
        <v>45914.0</v>
      </c>
      <c r="E467" s="34">
        <v>46264.0</v>
      </c>
      <c r="F467" s="35"/>
      <c r="G467" s="34"/>
      <c r="H467" s="35"/>
      <c r="I467" s="34"/>
      <c r="J467" s="35"/>
      <c r="K467" s="34"/>
      <c r="L467" s="35"/>
    </row>
    <row r="468">
      <c r="A468" s="28" t="s">
        <v>103</v>
      </c>
      <c r="B468" s="29">
        <f>IFERROR(__xludf.DUMMYFUNCTION("IF(ISBLANK(D469),"""",MAX(FILTER({D469;F469;H469;J469;L469}, ISNUMBER({D469;F469;H469;J469;L469}))))"),46109.0)</f>
        <v>46109</v>
      </c>
      <c r="C468" s="30" t="s">
        <v>67</v>
      </c>
      <c r="D468" s="31"/>
      <c r="E468" s="30"/>
      <c r="F468" s="31"/>
      <c r="G468" s="30"/>
      <c r="H468" s="31"/>
      <c r="I468" s="30"/>
      <c r="J468" s="31"/>
      <c r="K468" s="30"/>
      <c r="L468" s="31"/>
    </row>
    <row r="469">
      <c r="A469" s="32"/>
      <c r="B469" s="33"/>
      <c r="C469" s="34">
        <v>45802.0</v>
      </c>
      <c r="D469" s="35">
        <v>46109.0</v>
      </c>
      <c r="E469" s="34"/>
      <c r="F469" s="35"/>
      <c r="G469" s="34"/>
      <c r="H469" s="35"/>
      <c r="I469" s="34"/>
      <c r="J469" s="35"/>
      <c r="K469" s="34"/>
      <c r="L469" s="35"/>
    </row>
    <row r="470">
      <c r="A470" s="28" t="s">
        <v>104</v>
      </c>
      <c r="B470" s="29">
        <f>IFERROR(__xludf.DUMMYFUNCTION("IF(ISBLANK(D471),"""",MAX(FILTER({D471;F471;H471;J471;L471}, ISNUMBER({D471;F471;H471;J471;L471}))))"),45900.0)</f>
        <v>45900</v>
      </c>
      <c r="C470" s="30" t="s">
        <v>87</v>
      </c>
      <c r="D470" s="31"/>
      <c r="E470" s="30"/>
      <c r="F470" s="31"/>
      <c r="G470" s="30"/>
      <c r="H470" s="31"/>
      <c r="I470" s="30"/>
      <c r="J470" s="31"/>
      <c r="K470" s="30"/>
      <c r="L470" s="31"/>
    </row>
    <row r="471">
      <c r="A471" s="32"/>
      <c r="B471" s="33"/>
      <c r="C471" s="34">
        <v>45832.0</v>
      </c>
      <c r="D471" s="35">
        <v>45900.0</v>
      </c>
      <c r="E471" s="34"/>
      <c r="F471" s="35"/>
      <c r="G471" s="34"/>
      <c r="H471" s="35"/>
      <c r="I471" s="34"/>
      <c r="J471" s="35"/>
      <c r="K471" s="34"/>
      <c r="L471" s="35"/>
    </row>
    <row r="472">
      <c r="A472" s="28" t="s">
        <v>105</v>
      </c>
      <c r="B472" s="29">
        <f>IFERROR(__xludf.DUMMYFUNCTION("IF(ISBLANK(D473),"""",MAX(FILTER({D473;F473;H473;J473;L473}, ISNUMBER({D473;F473;H473;J473;L473}))))"),45930.0)</f>
        <v>45930</v>
      </c>
      <c r="C472" s="30" t="s">
        <v>13</v>
      </c>
      <c r="D472" s="31"/>
      <c r="E472" s="30"/>
      <c r="F472" s="31"/>
      <c r="G472" s="30"/>
      <c r="H472" s="31"/>
      <c r="I472" s="30"/>
      <c r="J472" s="31"/>
      <c r="K472" s="30"/>
      <c r="L472" s="31"/>
    </row>
    <row r="473">
      <c r="A473" s="32"/>
      <c r="B473" s="33"/>
      <c r="C473" s="34">
        <v>45422.0</v>
      </c>
      <c r="D473" s="35">
        <v>45930.0</v>
      </c>
      <c r="E473" s="34"/>
      <c r="F473" s="35"/>
      <c r="G473" s="34"/>
      <c r="H473" s="35"/>
      <c r="I473" s="34"/>
      <c r="J473" s="35"/>
      <c r="K473" s="34"/>
      <c r="L473" s="35"/>
    </row>
    <row r="474">
      <c r="A474" s="28" t="s">
        <v>106</v>
      </c>
      <c r="B474" s="29">
        <f>IFERROR(__xludf.DUMMYFUNCTION("IF(ISBLANK(D475),"""",MAX(FILTER({D475;F475;H475;J475;L475}, ISNUMBER({D475;F475;H475;J475;L475}))))"),45200.0)</f>
        <v>45200</v>
      </c>
      <c r="C474" s="30" t="s">
        <v>31</v>
      </c>
      <c r="D474" s="31"/>
      <c r="E474" s="30"/>
      <c r="F474" s="31"/>
      <c r="G474" s="30"/>
      <c r="H474" s="31"/>
      <c r="I474" s="30"/>
      <c r="J474" s="31"/>
      <c r="K474" s="30"/>
      <c r="L474" s="31"/>
    </row>
    <row r="475">
      <c r="A475" s="32"/>
      <c r="B475" s="33"/>
      <c r="C475" s="34">
        <v>45176.0</v>
      </c>
      <c r="D475" s="35">
        <v>45200.0</v>
      </c>
      <c r="E475" s="34"/>
      <c r="F475" s="35"/>
      <c r="G475" s="34"/>
      <c r="H475" s="35"/>
      <c r="I475" s="34"/>
      <c r="J475" s="35"/>
      <c r="K475" s="34"/>
      <c r="L475" s="35"/>
    </row>
    <row r="476">
      <c r="A476" s="28" t="s">
        <v>107</v>
      </c>
      <c r="B476" s="29">
        <f>IFERROR(__xludf.DUMMYFUNCTION("IF(ISBLANK(D477),"""",MAX(FILTER({D477;F477;H477;J477;L477}, ISNUMBER({D477;F477;H477;J477;L477}))))"),45930.0)</f>
        <v>45930</v>
      </c>
      <c r="C476" s="30" t="s">
        <v>13</v>
      </c>
      <c r="D476" s="31"/>
      <c r="E476" s="30"/>
      <c r="F476" s="31"/>
      <c r="G476" s="30"/>
      <c r="H476" s="31"/>
      <c r="I476" s="30"/>
      <c r="J476" s="31"/>
      <c r="K476" s="30"/>
      <c r="L476" s="31"/>
    </row>
    <row r="477">
      <c r="A477" s="32"/>
      <c r="B477" s="33"/>
      <c r="C477" s="34">
        <v>45451.0</v>
      </c>
      <c r="D477" s="35">
        <v>45930.0</v>
      </c>
      <c r="E477" s="34"/>
      <c r="F477" s="35"/>
      <c r="G477" s="34"/>
      <c r="H477" s="35"/>
      <c r="I477" s="34"/>
      <c r="J477" s="35"/>
      <c r="K477" s="34"/>
      <c r="L477" s="35"/>
    </row>
    <row r="478">
      <c r="A478" s="28" t="s">
        <v>108</v>
      </c>
      <c r="B478" s="29">
        <f>IFERROR(__xludf.DUMMYFUNCTION("IF(ISBLANK(D479),"""",MAX(FILTER({D479;F479;H479;J479;L479}, ISNUMBER({D479;F479;H479;J479;L479}))))"),45930.0)</f>
        <v>45930</v>
      </c>
      <c r="C478" s="30" t="s">
        <v>13</v>
      </c>
      <c r="D478" s="31"/>
      <c r="E478" s="30"/>
      <c r="F478" s="31"/>
      <c r="G478" s="30"/>
      <c r="H478" s="31"/>
      <c r="I478" s="30"/>
      <c r="J478" s="31"/>
      <c r="K478" s="30"/>
      <c r="L478" s="31"/>
    </row>
    <row r="479">
      <c r="A479" s="32"/>
      <c r="B479" s="33"/>
      <c r="C479" s="34">
        <v>45451.0</v>
      </c>
      <c r="D479" s="35">
        <v>45930.0</v>
      </c>
      <c r="E479" s="34"/>
      <c r="F479" s="35"/>
      <c r="G479" s="34"/>
      <c r="H479" s="35"/>
      <c r="I479" s="34"/>
      <c r="J479" s="35"/>
      <c r="K479" s="34"/>
      <c r="L479" s="35"/>
    </row>
    <row r="480">
      <c r="A480" s="28" t="s">
        <v>109</v>
      </c>
      <c r="B480" s="29">
        <f>IFERROR(__xludf.DUMMYFUNCTION("IF(ISBLANK(D481),"""",MAX(FILTER({D481;F481;H481;J481;L481}, ISNUMBER({D481;F481;H481;J481;L481}))))"),45198.0)</f>
        <v>45198</v>
      </c>
      <c r="C480" s="30" t="s">
        <v>13</v>
      </c>
      <c r="D480" s="31"/>
      <c r="E480" s="30"/>
      <c r="F480" s="31"/>
      <c r="G480" s="30"/>
      <c r="H480" s="31"/>
      <c r="I480" s="30"/>
      <c r="J480" s="31"/>
      <c r="K480" s="30"/>
      <c r="L480" s="31"/>
    </row>
    <row r="481">
      <c r="A481" s="32"/>
      <c r="B481" s="33"/>
      <c r="C481" s="34">
        <v>45185.0</v>
      </c>
      <c r="D481" s="35">
        <v>45198.0</v>
      </c>
      <c r="E481" s="34"/>
      <c r="F481" s="35"/>
      <c r="G481" s="34"/>
      <c r="H481" s="35"/>
      <c r="I481" s="34"/>
      <c r="J481" s="35"/>
      <c r="K481" s="34"/>
      <c r="L481" s="35"/>
    </row>
    <row r="482">
      <c r="A482" s="28" t="s">
        <v>110</v>
      </c>
      <c r="B482" s="29">
        <f>IFERROR(__xludf.DUMMYFUNCTION("IF(ISBLANK(D483),"""",MAX(FILTER({D483;F483;H483;J483;L483}, ISNUMBER({D483;F483;H483;J483;L483}))))"),45930.0)</f>
        <v>45930</v>
      </c>
      <c r="C482" s="30" t="s">
        <v>52</v>
      </c>
      <c r="D482" s="31"/>
      <c r="E482" s="30"/>
      <c r="F482" s="31"/>
      <c r="G482" s="30"/>
      <c r="H482" s="31"/>
      <c r="I482" s="30"/>
      <c r="J482" s="31"/>
      <c r="K482" s="30"/>
      <c r="L482" s="31"/>
    </row>
    <row r="483">
      <c r="A483" s="32"/>
      <c r="B483" s="33"/>
      <c r="C483" s="34">
        <v>45422.0</v>
      </c>
      <c r="D483" s="35">
        <v>45930.0</v>
      </c>
      <c r="E483" s="34"/>
      <c r="F483" s="35"/>
      <c r="G483" s="34"/>
      <c r="H483" s="35"/>
      <c r="I483" s="34"/>
      <c r="J483" s="35"/>
      <c r="K483" s="34"/>
      <c r="L483" s="35"/>
    </row>
    <row r="484">
      <c r="A484" s="28" t="s">
        <v>111</v>
      </c>
      <c r="B484" s="29">
        <f>IFERROR(__xludf.DUMMYFUNCTION("IF(ISBLANK(D485),"""",MAX(FILTER({D485;F485;H485;J485;L485}, ISNUMBER({D485;F485;H485;J485;L485}))))"),45929.0)</f>
        <v>45929</v>
      </c>
      <c r="C484" s="30" t="s">
        <v>85</v>
      </c>
      <c r="D484" s="31"/>
      <c r="E484" s="30"/>
      <c r="F484" s="31"/>
      <c r="G484" s="30"/>
      <c r="H484" s="31"/>
      <c r="I484" s="30"/>
      <c r="J484" s="31"/>
      <c r="K484" s="30"/>
      <c r="L484" s="31"/>
    </row>
    <row r="485">
      <c r="A485" s="32"/>
      <c r="B485" s="33"/>
      <c r="C485" s="34">
        <v>45422.0</v>
      </c>
      <c r="D485" s="35">
        <v>45929.0</v>
      </c>
      <c r="E485" s="34"/>
      <c r="F485" s="35"/>
      <c r="G485" s="34"/>
      <c r="H485" s="35"/>
      <c r="I485" s="34"/>
      <c r="J485" s="35"/>
      <c r="K485" s="34"/>
      <c r="L485" s="35"/>
    </row>
    <row r="486">
      <c r="A486" s="28" t="s">
        <v>112</v>
      </c>
      <c r="B486" s="29">
        <f>IFERROR(__xludf.DUMMYFUNCTION("IF(ISBLANK(D487),"""",MAX(FILTER({D487;F487;H487;J487;L487}, ISNUMBER({D487;F487;H487;J487;L487}))))"),45929.0)</f>
        <v>45929</v>
      </c>
      <c r="C486" s="30" t="s">
        <v>85</v>
      </c>
      <c r="D486" s="31"/>
      <c r="E486" s="30"/>
      <c r="F486" s="31"/>
      <c r="G486" s="30"/>
      <c r="H486" s="31"/>
      <c r="I486" s="30"/>
      <c r="J486" s="31"/>
      <c r="K486" s="30"/>
      <c r="L486" s="31"/>
    </row>
    <row r="487">
      <c r="A487" s="32"/>
      <c r="B487" s="33"/>
      <c r="C487" s="34">
        <v>45422.0</v>
      </c>
      <c r="D487" s="35">
        <v>45929.0</v>
      </c>
      <c r="E487" s="34"/>
      <c r="F487" s="35"/>
      <c r="G487" s="34"/>
      <c r="H487" s="35"/>
      <c r="I487" s="34"/>
      <c r="J487" s="35"/>
      <c r="K487" s="34"/>
      <c r="L487" s="35"/>
    </row>
    <row r="488">
      <c r="A488" s="28" t="s">
        <v>113</v>
      </c>
      <c r="B488" s="29">
        <f>IFERROR(__xludf.DUMMYFUNCTION("IF(ISBLANK(D489),"""",MAX(FILTER({D489;F489;H489;J489;L489}, ISNUMBER({D489;F489;H489;J489;L489}))))"),45311.0)</f>
        <v>45311</v>
      </c>
      <c r="C488" s="30" t="s">
        <v>62</v>
      </c>
      <c r="D488" s="31"/>
      <c r="E488" s="30"/>
      <c r="F488" s="31"/>
      <c r="G488" s="30"/>
      <c r="H488" s="31"/>
      <c r="I488" s="30"/>
      <c r="J488" s="31"/>
      <c r="K488" s="30"/>
      <c r="L488" s="31"/>
    </row>
    <row r="489">
      <c r="A489" s="32"/>
      <c r="B489" s="33"/>
      <c r="C489" s="34">
        <v>45249.0</v>
      </c>
      <c r="D489" s="35">
        <v>45311.0</v>
      </c>
      <c r="E489" s="34"/>
      <c r="F489" s="35"/>
      <c r="G489" s="34"/>
      <c r="H489" s="35"/>
      <c r="I489" s="34"/>
      <c r="J489" s="35"/>
      <c r="K489" s="34"/>
      <c r="L489" s="35"/>
    </row>
    <row r="490">
      <c r="A490" s="28" t="s">
        <v>114</v>
      </c>
      <c r="B490" s="29">
        <f>IFERROR(__xludf.DUMMYFUNCTION("IF(ISBLANK(D491),"""",MAX(FILTER({D491;F491;H491;J491;L491}, ISNUMBER({D491;F491;H491;J491;L491}))))"),45930.0)</f>
        <v>45930</v>
      </c>
      <c r="C490" s="30" t="s">
        <v>52</v>
      </c>
      <c r="D490" s="31"/>
      <c r="E490" s="30"/>
      <c r="F490" s="31"/>
      <c r="G490" s="30"/>
      <c r="H490" s="31"/>
      <c r="I490" s="30"/>
      <c r="J490" s="31"/>
      <c r="K490" s="30"/>
      <c r="L490" s="31"/>
    </row>
    <row r="491">
      <c r="A491" s="32"/>
      <c r="B491" s="33"/>
      <c r="C491" s="34">
        <v>45878.0</v>
      </c>
      <c r="D491" s="35">
        <v>45930.0</v>
      </c>
      <c r="E491" s="34"/>
      <c r="F491" s="35"/>
      <c r="G491" s="34"/>
      <c r="H491" s="35"/>
      <c r="I491" s="34"/>
      <c r="J491" s="35"/>
      <c r="K491" s="34"/>
      <c r="L491" s="35"/>
    </row>
    <row r="492">
      <c r="A492" s="28" t="s">
        <v>115</v>
      </c>
      <c r="B492" s="29" t="str">
        <f>IFERROR(__xludf.DUMMYFUNCTION("IF(ISBLANK(D493),"""",MAX(FILTER({D493;F493;H493;J493;L493}, ISNUMBER({D493;F493;H493;J493;L493}))))"),"")</f>
        <v/>
      </c>
      <c r="C492" s="30"/>
      <c r="D492" s="31"/>
      <c r="E492" s="30"/>
      <c r="F492" s="31"/>
      <c r="G492" s="30"/>
      <c r="H492" s="31"/>
      <c r="I492" s="30"/>
      <c r="J492" s="31"/>
      <c r="K492" s="30"/>
      <c r="L492" s="31"/>
    </row>
    <row r="493">
      <c r="A493" s="32"/>
      <c r="B493" s="33"/>
      <c r="C493" s="34"/>
      <c r="D493" s="35"/>
      <c r="E493" s="34"/>
      <c r="F493" s="35"/>
      <c r="G493" s="34"/>
      <c r="H493" s="35"/>
      <c r="I493" s="34"/>
      <c r="J493" s="35"/>
      <c r="K493" s="34"/>
      <c r="L493" s="35"/>
    </row>
    <row r="494">
      <c r="A494" s="28" t="s">
        <v>116</v>
      </c>
      <c r="B494" s="29" t="str">
        <f>IFERROR(__xludf.DUMMYFUNCTION("IF(ISBLANK(D495),"""",MAX(FILTER({D495;F495;H495;J495;L495}, ISNUMBER({D495;F495;H495;J495;L495}))))"),"")</f>
        <v/>
      </c>
      <c r="C494" s="30"/>
      <c r="D494" s="31"/>
      <c r="E494" s="30"/>
      <c r="F494" s="31"/>
      <c r="G494" s="30"/>
      <c r="H494" s="31"/>
      <c r="I494" s="30"/>
      <c r="J494" s="31"/>
      <c r="K494" s="30"/>
      <c r="L494" s="31"/>
    </row>
    <row r="495">
      <c r="A495" s="32"/>
      <c r="B495" s="33"/>
      <c r="C495" s="34"/>
      <c r="D495" s="35"/>
      <c r="E495" s="34"/>
      <c r="F495" s="35"/>
      <c r="G495" s="34"/>
      <c r="H495" s="35"/>
      <c r="I495" s="34"/>
      <c r="J495" s="35"/>
      <c r="K495" s="34"/>
      <c r="L495" s="35"/>
    </row>
    <row r="496">
      <c r="A496" s="28" t="s">
        <v>117</v>
      </c>
      <c r="B496" s="29" t="str">
        <f>IFERROR(__xludf.DUMMYFUNCTION("IF(ISBLANK(D497),"""",MAX(FILTER({D497;F497;H497;J497;L497}, ISNUMBER({D497;F497;H497;J497;L497}))))"),"")</f>
        <v/>
      </c>
      <c r="C496" s="30"/>
      <c r="D496" s="31"/>
      <c r="E496" s="30"/>
      <c r="F496" s="31"/>
      <c r="G496" s="30"/>
      <c r="H496" s="31"/>
      <c r="I496" s="30"/>
      <c r="J496" s="31"/>
      <c r="K496" s="30"/>
      <c r="L496" s="31"/>
    </row>
    <row r="497">
      <c r="A497" s="32"/>
      <c r="B497" s="33"/>
      <c r="C497" s="34"/>
      <c r="D497" s="35"/>
      <c r="E497" s="34"/>
      <c r="F497" s="35"/>
      <c r="G497" s="34"/>
      <c r="H497" s="35"/>
      <c r="I497" s="34"/>
      <c r="J497" s="35"/>
      <c r="K497" s="34"/>
      <c r="L497" s="35"/>
    </row>
    <row r="498">
      <c r="A498" s="28" t="s">
        <v>118</v>
      </c>
      <c r="B498" s="29" t="str">
        <f>IFERROR(__xludf.DUMMYFUNCTION("IF(ISBLANK(D499),"""",MAX(FILTER({D499;F499;H499;J499;L499}, ISNUMBER({D499;F499;H499;J499;L499}))))"),"")</f>
        <v/>
      </c>
      <c r="C498" s="30"/>
      <c r="D498" s="31"/>
      <c r="E498" s="30"/>
      <c r="F498" s="31"/>
      <c r="G498" s="30"/>
      <c r="H498" s="31"/>
      <c r="I498" s="30"/>
      <c r="J498" s="31"/>
      <c r="K498" s="30"/>
      <c r="L498" s="31"/>
    </row>
    <row r="499">
      <c r="A499" s="32"/>
      <c r="B499" s="33"/>
      <c r="C499" s="34"/>
      <c r="D499" s="35"/>
      <c r="E499" s="34"/>
      <c r="F499" s="35"/>
      <c r="G499" s="34"/>
      <c r="H499" s="35"/>
      <c r="I499" s="34"/>
      <c r="J499" s="35"/>
      <c r="K499" s="34"/>
      <c r="L499" s="35"/>
    </row>
    <row r="500">
      <c r="A500" s="28" t="s">
        <v>119</v>
      </c>
      <c r="B500" s="29" t="str">
        <f>IFERROR(__xludf.DUMMYFUNCTION("IF(ISBLANK(D501),"""",MAX(FILTER({D501;F501;H501;J501;L501}, ISNUMBER({D501;F501;H501;J501;L501}))))"),"")</f>
        <v/>
      </c>
      <c r="C500" s="30"/>
      <c r="D500" s="31"/>
      <c r="E500" s="30"/>
      <c r="F500" s="31"/>
      <c r="G500" s="30"/>
      <c r="H500" s="31"/>
      <c r="I500" s="30"/>
      <c r="J500" s="31"/>
      <c r="K500" s="30"/>
      <c r="L500" s="31"/>
    </row>
    <row r="501">
      <c r="A501" s="32"/>
      <c r="B501" s="33"/>
      <c r="C501" s="34"/>
      <c r="D501" s="35"/>
      <c r="E501" s="34"/>
      <c r="F501" s="35"/>
      <c r="G501" s="34"/>
      <c r="H501" s="35"/>
      <c r="I501" s="34"/>
      <c r="J501" s="35"/>
      <c r="K501" s="34"/>
      <c r="L501" s="35"/>
    </row>
    <row r="502">
      <c r="A502" s="28" t="s">
        <v>120</v>
      </c>
      <c r="B502" s="29" t="str">
        <f>IFERROR(__xludf.DUMMYFUNCTION("IF(ISBLANK(D503),"""",MAX(FILTER({D503;F503;H503;J503;L503}, ISNUMBER({D503;F503;H503;J503;L503}))))"),"")</f>
        <v/>
      </c>
      <c r="C502" s="30"/>
      <c r="D502" s="31"/>
      <c r="E502" s="30"/>
      <c r="F502" s="31"/>
      <c r="G502" s="30"/>
      <c r="H502" s="31"/>
      <c r="I502" s="30"/>
      <c r="J502" s="31"/>
      <c r="K502" s="30"/>
      <c r="L502" s="31"/>
    </row>
    <row r="503">
      <c r="A503" s="32"/>
      <c r="B503" s="33"/>
      <c r="C503" s="34"/>
      <c r="D503" s="35"/>
      <c r="E503" s="34"/>
      <c r="F503" s="35"/>
      <c r="G503" s="34"/>
      <c r="H503" s="35"/>
      <c r="I503" s="34"/>
      <c r="J503" s="35"/>
      <c r="K503" s="34"/>
      <c r="L503" s="35"/>
    </row>
    <row r="504">
      <c r="A504" s="28" t="s">
        <v>121</v>
      </c>
      <c r="B504" s="29">
        <f>IFERROR(__xludf.DUMMYFUNCTION("IF(ISBLANK(D505),"""",MAX(FILTER({D505;F505;H505;J505;L505}, ISNUMBER({D505;F505;H505;J505;L505}))))"),45900.0)</f>
        <v>45900</v>
      </c>
      <c r="C504" s="30" t="s">
        <v>87</v>
      </c>
      <c r="D504" s="31"/>
      <c r="E504" s="30"/>
      <c r="F504" s="31"/>
      <c r="G504" s="30"/>
      <c r="H504" s="31"/>
      <c r="I504" s="30"/>
      <c r="J504" s="31"/>
      <c r="K504" s="30"/>
      <c r="L504" s="31"/>
    </row>
    <row r="505">
      <c r="A505" s="32"/>
      <c r="B505" s="33"/>
      <c r="C505" s="34">
        <v>45759.0</v>
      </c>
      <c r="D505" s="35">
        <v>45900.0</v>
      </c>
      <c r="E505" s="34"/>
      <c r="F505" s="35"/>
      <c r="G505" s="34"/>
      <c r="H505" s="35"/>
      <c r="I505" s="34"/>
      <c r="J505" s="35"/>
      <c r="K505" s="34"/>
      <c r="L505" s="35"/>
    </row>
    <row r="506">
      <c r="A506" s="28" t="s">
        <v>122</v>
      </c>
      <c r="B506" s="29" t="str">
        <f>IFERROR(__xludf.DUMMYFUNCTION("IF(ISBLANK(D507),"""",MAX(FILTER({D507;F507;H507;J507;L507}, ISNUMBER({D507;F507;H507;J507;L507}))))"),"")</f>
        <v/>
      </c>
      <c r="C506" s="30" t="s">
        <v>70</v>
      </c>
      <c r="D506" s="31"/>
      <c r="E506" s="30"/>
      <c r="F506" s="31"/>
      <c r="G506" s="30"/>
      <c r="H506" s="31"/>
      <c r="I506" s="30"/>
      <c r="J506" s="31"/>
      <c r="K506" s="30"/>
      <c r="L506" s="31"/>
    </row>
    <row r="507">
      <c r="A507" s="32"/>
      <c r="B507" s="33"/>
      <c r="C507" s="34">
        <v>45750.0</v>
      </c>
      <c r="D507" s="35"/>
      <c r="E507" s="34"/>
      <c r="F507" s="35"/>
      <c r="G507" s="34"/>
      <c r="H507" s="35"/>
      <c r="I507" s="34"/>
      <c r="J507" s="35"/>
      <c r="K507" s="34"/>
      <c r="L507" s="35"/>
    </row>
    <row r="508">
      <c r="A508" s="28" t="s">
        <v>123</v>
      </c>
      <c r="B508" s="29">
        <f>IFERROR(__xludf.DUMMYFUNCTION("IF(ISBLANK(D509),"""",MAX(FILTER({D509;F509;H509;J509;L509}, ISNUMBER({D509;F509;H509;J509;L509}))))"),45797.0)</f>
        <v>45797</v>
      </c>
      <c r="C508" s="30" t="s">
        <v>11</v>
      </c>
      <c r="D508" s="31"/>
      <c r="E508" s="30"/>
      <c r="F508" s="31"/>
      <c r="G508" s="30"/>
      <c r="H508" s="31"/>
      <c r="I508" s="30"/>
      <c r="J508" s="31"/>
      <c r="K508" s="30"/>
      <c r="L508" s="31"/>
    </row>
    <row r="509">
      <c r="A509" s="32"/>
      <c r="B509" s="33"/>
      <c r="C509" s="34">
        <v>45753.0</v>
      </c>
      <c r="D509" s="35">
        <v>45797.0</v>
      </c>
      <c r="E509" s="34"/>
      <c r="F509" s="35"/>
      <c r="G509" s="34"/>
      <c r="H509" s="35"/>
      <c r="I509" s="34"/>
      <c r="J509" s="35"/>
      <c r="K509" s="34"/>
      <c r="L509" s="35"/>
    </row>
    <row r="510">
      <c r="A510" s="28" t="s">
        <v>124</v>
      </c>
      <c r="B510" s="29">
        <f>IFERROR(__xludf.DUMMYFUNCTION("IF(ISBLANK(D511),"""",MAX(FILTER({D511;F511;H511;J511;L511}, ISNUMBER({D511;F511;H511;J511;L511}))))"),45900.0)</f>
        <v>45900</v>
      </c>
      <c r="C510" s="30" t="s">
        <v>87</v>
      </c>
      <c r="D510" s="31"/>
      <c r="E510" s="30" t="s">
        <v>87</v>
      </c>
      <c r="F510" s="31"/>
      <c r="G510" s="30"/>
      <c r="H510" s="31"/>
      <c r="I510" s="30"/>
      <c r="J510" s="31"/>
      <c r="K510" s="30"/>
      <c r="L510" s="31"/>
    </row>
    <row r="511">
      <c r="A511" s="32"/>
      <c r="B511" s="33"/>
      <c r="C511" s="34">
        <v>45816.0</v>
      </c>
      <c r="D511" s="35">
        <v>45900.0</v>
      </c>
      <c r="E511" s="34">
        <v>46249.0</v>
      </c>
      <c r="F511" s="35"/>
      <c r="G511" s="34"/>
      <c r="H511" s="35"/>
      <c r="I511" s="34"/>
      <c r="J511" s="35"/>
      <c r="K511" s="34"/>
      <c r="L511" s="35"/>
    </row>
    <row r="512">
      <c r="A512" s="28" t="s">
        <v>125</v>
      </c>
      <c r="B512" s="29" t="str">
        <f>IFERROR(__xludf.DUMMYFUNCTION("IF(ISBLANK(D513),"""",MAX(FILTER({D513;F513;H513;J513;L513}, ISNUMBER({D513;F513;H513;J513;L513}))))"),"")</f>
        <v/>
      </c>
      <c r="C512" s="30" t="s">
        <v>61</v>
      </c>
      <c r="D512" s="31"/>
      <c r="E512" s="30"/>
      <c r="F512" s="31"/>
      <c r="G512" s="30"/>
      <c r="H512" s="31"/>
      <c r="I512" s="30"/>
      <c r="J512" s="31"/>
      <c r="K512" s="30"/>
      <c r="L512" s="31"/>
    </row>
    <row r="513">
      <c r="A513" s="32"/>
      <c r="B513" s="33"/>
      <c r="C513" s="34">
        <v>45910.0</v>
      </c>
      <c r="D513" s="35"/>
      <c r="E513" s="34"/>
      <c r="F513" s="35"/>
      <c r="G513" s="34"/>
      <c r="H513" s="35"/>
      <c r="I513" s="34"/>
      <c r="J513" s="35"/>
      <c r="K513" s="34"/>
      <c r="L513" s="35"/>
    </row>
    <row r="514">
      <c r="A514" s="28" t="s">
        <v>126</v>
      </c>
      <c r="B514" s="29" t="str">
        <f>IFERROR(__xludf.DUMMYFUNCTION("IF(ISBLANK(D515),"""",MAX(FILTER({D515;F515;H515;J515;L515}, ISNUMBER({D515;F515;H515;J515;L515}))))"),"")</f>
        <v/>
      </c>
      <c r="C514" s="30" t="s">
        <v>46</v>
      </c>
      <c r="D514" s="31"/>
      <c r="E514" s="30"/>
      <c r="F514" s="31"/>
      <c r="G514" s="30"/>
      <c r="H514" s="31"/>
      <c r="I514" s="30"/>
      <c r="J514" s="31"/>
      <c r="K514" s="30"/>
      <c r="L514" s="31"/>
    </row>
    <row r="515">
      <c r="A515" s="32"/>
      <c r="B515" s="33"/>
      <c r="C515" s="34">
        <v>45321.0</v>
      </c>
      <c r="D515" s="35"/>
      <c r="E515" s="34"/>
      <c r="F515" s="35"/>
      <c r="G515" s="34"/>
      <c r="H515" s="35"/>
      <c r="I515" s="34"/>
      <c r="J515" s="35"/>
      <c r="K515" s="34"/>
      <c r="L515" s="35"/>
    </row>
    <row r="516">
      <c r="A516" s="28" t="s">
        <v>127</v>
      </c>
      <c r="B516" s="29">
        <f>IFERROR(__xludf.DUMMYFUNCTION("IF(ISBLANK(D517),"""",MAX(FILTER({D517;F517;H517;J517;L517}, ISNUMBER({D517;F517;H517;J517;L517}))))"),46001.0)</f>
        <v>46001</v>
      </c>
      <c r="C516" s="30" t="s">
        <v>47</v>
      </c>
      <c r="D516" s="31"/>
      <c r="E516" s="30"/>
      <c r="F516" s="31"/>
      <c r="G516" s="30"/>
      <c r="H516" s="31"/>
      <c r="I516" s="30"/>
      <c r="J516" s="31"/>
      <c r="K516" s="30"/>
      <c r="L516" s="31"/>
    </row>
    <row r="517">
      <c r="A517" s="32"/>
      <c r="B517" s="33"/>
      <c r="C517" s="34">
        <v>45910.0</v>
      </c>
      <c r="D517" s="35">
        <v>46001.0</v>
      </c>
      <c r="E517" s="34"/>
      <c r="F517" s="35"/>
      <c r="G517" s="34"/>
      <c r="H517" s="35"/>
      <c r="I517" s="34"/>
      <c r="J517" s="35"/>
      <c r="K517" s="34"/>
      <c r="L517" s="35"/>
    </row>
    <row r="518">
      <c r="A518" s="28" t="s">
        <v>128</v>
      </c>
      <c r="B518" s="29">
        <f>IFERROR(__xludf.DUMMYFUNCTION("IF(ISBLANK(D519),"""",MAX(FILTER({D519;F519;H519;J519;L519}, ISNUMBER({D519;F519;H519;J519;L519}))))"),45881.0)</f>
        <v>45881</v>
      </c>
      <c r="C518" s="30" t="s">
        <v>85</v>
      </c>
      <c r="D518" s="31"/>
      <c r="E518" s="30"/>
      <c r="F518" s="31"/>
      <c r="G518" s="30"/>
      <c r="H518" s="31"/>
      <c r="I518" s="30"/>
      <c r="J518" s="31"/>
      <c r="K518" s="30"/>
      <c r="L518" s="31"/>
    </row>
    <row r="519">
      <c r="A519" s="32"/>
      <c r="B519" s="33"/>
      <c r="C519" s="34">
        <v>45818.0</v>
      </c>
      <c r="D519" s="35">
        <v>45881.0</v>
      </c>
      <c r="E519" s="34"/>
      <c r="F519" s="35"/>
      <c r="G519" s="34"/>
      <c r="H519" s="35"/>
      <c r="I519" s="34"/>
      <c r="J519" s="35"/>
      <c r="K519" s="34"/>
      <c r="L519" s="35"/>
    </row>
    <row r="520">
      <c r="A520" s="28" t="s">
        <v>129</v>
      </c>
      <c r="B520" s="29">
        <f>IFERROR(__xludf.DUMMYFUNCTION("IF(ISBLANK(D521),"""",MAX(FILTER({D521;F521;H521;J521;L521}, ISNUMBER({D521;F521;H521;J521;L521}))))"),46186.0)</f>
        <v>46186</v>
      </c>
      <c r="C520" s="30" t="s">
        <v>47</v>
      </c>
      <c r="D520" s="31"/>
      <c r="E520" s="30"/>
      <c r="F520" s="31"/>
      <c r="G520" s="30"/>
      <c r="H520" s="31"/>
      <c r="I520" s="30"/>
      <c r="J520" s="31"/>
      <c r="K520" s="30"/>
      <c r="L520" s="31"/>
    </row>
    <row r="521">
      <c r="A521" s="32"/>
      <c r="B521" s="33"/>
      <c r="C521" s="34">
        <v>45818.0</v>
      </c>
      <c r="D521" s="35">
        <v>46186.0</v>
      </c>
      <c r="E521" s="34"/>
      <c r="F521" s="35"/>
      <c r="G521" s="34"/>
      <c r="H521" s="35"/>
      <c r="I521" s="34"/>
      <c r="J521" s="35"/>
      <c r="K521" s="34"/>
      <c r="L521" s="35"/>
    </row>
    <row r="522">
      <c r="A522" s="28" t="s">
        <v>130</v>
      </c>
      <c r="B522" s="29">
        <f>IFERROR(__xludf.DUMMYFUNCTION("IF(ISBLANK(D523),"""",MAX(FILTER({D523;F523;H523;J523;L523}, ISNUMBER({D523;F523;H523;J523;L523}))))"),45199.0)</f>
        <v>45199</v>
      </c>
      <c r="C522" s="30" t="s">
        <v>61</v>
      </c>
      <c r="D522" s="31"/>
      <c r="E522" s="30"/>
      <c r="F522" s="31"/>
      <c r="G522" s="30"/>
      <c r="H522" s="31"/>
      <c r="I522" s="30"/>
      <c r="J522" s="31"/>
      <c r="K522" s="30"/>
      <c r="L522" s="31"/>
    </row>
    <row r="523">
      <c r="A523" s="32"/>
      <c r="B523" s="33"/>
      <c r="C523" s="34">
        <v>45253.0</v>
      </c>
      <c r="D523" s="35">
        <v>45199.0</v>
      </c>
      <c r="E523" s="34"/>
      <c r="F523" s="35"/>
      <c r="G523" s="34"/>
      <c r="H523" s="35"/>
      <c r="I523" s="34"/>
      <c r="J523" s="35"/>
      <c r="K523" s="34"/>
      <c r="L523" s="35"/>
    </row>
    <row r="524">
      <c r="A524" s="28" t="s">
        <v>131</v>
      </c>
      <c r="B524" s="29">
        <f>IFERROR(__xludf.DUMMYFUNCTION("IF(ISBLANK(D525),"""",MAX(FILTER({D525;F525;H525;J525;L525}, ISNUMBER({D525;F525;H525;J525;L525}))))"),45900.0)</f>
        <v>45900</v>
      </c>
      <c r="C524" s="30" t="s">
        <v>87</v>
      </c>
      <c r="D524" s="31"/>
      <c r="E524" s="30"/>
      <c r="F524" s="31"/>
      <c r="G524" s="30"/>
      <c r="H524" s="31"/>
      <c r="I524" s="30"/>
      <c r="J524" s="31"/>
      <c r="K524" s="30"/>
      <c r="L524" s="31"/>
    </row>
    <row r="525">
      <c r="A525" s="32"/>
      <c r="B525" s="33"/>
      <c r="C525" s="34">
        <v>45832.0</v>
      </c>
      <c r="D525" s="35">
        <v>45900.0</v>
      </c>
      <c r="E525" s="34"/>
      <c r="F525" s="35"/>
      <c r="G525" s="34"/>
      <c r="H525" s="35"/>
      <c r="I525" s="34"/>
      <c r="J525" s="35"/>
      <c r="K525" s="34"/>
      <c r="L525" s="35"/>
    </row>
    <row r="526">
      <c r="A526" s="28" t="s">
        <v>132</v>
      </c>
      <c r="B526" s="29">
        <f>IFERROR(__xludf.DUMMYFUNCTION("IF(ISBLANK(D527),"""",MAX(FILTER({D527;F527;H527;J527;L527}, ISNUMBER({D527;F527;H527;J527;L527}))))"),46226.0)</f>
        <v>46226</v>
      </c>
      <c r="C526" s="30" t="s">
        <v>44</v>
      </c>
      <c r="D526" s="31"/>
      <c r="E526" s="30"/>
      <c r="F526" s="31"/>
      <c r="G526" s="30"/>
      <c r="H526" s="31"/>
      <c r="I526" s="30"/>
      <c r="J526" s="31"/>
      <c r="K526" s="30"/>
      <c r="L526" s="31"/>
    </row>
    <row r="527">
      <c r="A527" s="32"/>
      <c r="B527" s="33"/>
      <c r="C527" s="34">
        <v>45755.0</v>
      </c>
      <c r="D527" s="35">
        <v>46226.0</v>
      </c>
      <c r="E527" s="34"/>
      <c r="F527" s="35"/>
      <c r="G527" s="34"/>
      <c r="H527" s="35"/>
      <c r="I527" s="34"/>
      <c r="J527" s="35"/>
      <c r="K527" s="34"/>
      <c r="L527" s="35"/>
    </row>
    <row r="528">
      <c r="A528" s="28" t="s">
        <v>133</v>
      </c>
      <c r="B528" s="29">
        <f>IFERROR(__xludf.DUMMYFUNCTION("IF(ISBLANK(D529),"""",MAX(FILTER({D529;F529;H529;J529;L529}, ISNUMBER({D529;F529;H529;J529;L529}))))"),45900.0)</f>
        <v>45900</v>
      </c>
      <c r="C528" s="30" t="s">
        <v>87</v>
      </c>
      <c r="D528" s="31"/>
      <c r="E528" s="30"/>
      <c r="F528" s="31"/>
      <c r="G528" s="30"/>
      <c r="H528" s="31"/>
      <c r="I528" s="30"/>
      <c r="J528" s="31"/>
      <c r="K528" s="30"/>
      <c r="L528" s="31"/>
    </row>
    <row r="529">
      <c r="A529" s="32"/>
      <c r="B529" s="33"/>
      <c r="C529" s="34">
        <v>45832.0</v>
      </c>
      <c r="D529" s="35">
        <v>45900.0</v>
      </c>
      <c r="E529" s="34"/>
      <c r="F529" s="35"/>
      <c r="G529" s="34"/>
      <c r="H529" s="35"/>
      <c r="I529" s="34"/>
      <c r="J529" s="35"/>
      <c r="K529" s="34"/>
      <c r="L529" s="35"/>
    </row>
    <row r="530">
      <c r="A530" s="28">
        <v>264.0</v>
      </c>
      <c r="B530" s="29" t="str">
        <f>IFERROR(__xludf.DUMMYFUNCTION("IF(ISBLANK(D531),"""",MAX(FILTER({D531;F531;H531;J531;L531}, ISNUMBER({D531;F531;H531;J531;L531}))))"),"")</f>
        <v/>
      </c>
      <c r="C530" s="30"/>
      <c r="D530" s="31"/>
      <c r="E530" s="30"/>
      <c r="F530" s="31"/>
      <c r="G530" s="30"/>
      <c r="H530" s="31"/>
      <c r="I530" s="30"/>
      <c r="J530" s="31"/>
      <c r="K530" s="30"/>
      <c r="L530" s="31"/>
    </row>
    <row r="531">
      <c r="A531" s="32"/>
      <c r="B531" s="33"/>
      <c r="C531" s="34"/>
      <c r="D531" s="35"/>
      <c r="E531" s="34"/>
      <c r="F531" s="35"/>
      <c r="G531" s="34"/>
      <c r="H531" s="35"/>
      <c r="I531" s="34"/>
      <c r="J531" s="35"/>
      <c r="K531" s="34"/>
      <c r="L531" s="35"/>
    </row>
    <row r="532">
      <c r="A532" s="28">
        <v>265.0</v>
      </c>
      <c r="B532" s="29" t="str">
        <f>IFERROR(__xludf.DUMMYFUNCTION("IF(ISBLANK(D533),"""",MAX(FILTER({D533;F533;H533;J533;L533}, ISNUMBER({D533;F533;H533;J533;L533}))))"),"")</f>
        <v/>
      </c>
      <c r="C532" s="30"/>
      <c r="D532" s="31"/>
      <c r="E532" s="30"/>
      <c r="F532" s="31"/>
      <c r="G532" s="30"/>
      <c r="H532" s="31"/>
      <c r="I532" s="30"/>
      <c r="J532" s="31"/>
      <c r="K532" s="30"/>
      <c r="L532" s="31"/>
    </row>
    <row r="533">
      <c r="A533" s="32"/>
      <c r="B533" s="33"/>
      <c r="C533" s="34"/>
      <c r="D533" s="35"/>
      <c r="E533" s="34"/>
      <c r="F533" s="35"/>
      <c r="G533" s="34"/>
      <c r="H533" s="35"/>
      <c r="I533" s="34"/>
      <c r="J533" s="35"/>
      <c r="K533" s="34"/>
      <c r="L533" s="35"/>
    </row>
    <row r="534">
      <c r="A534" s="28">
        <v>266.0</v>
      </c>
      <c r="B534" s="29" t="str">
        <f>IFERROR(__xludf.DUMMYFUNCTION("IF(ISBLANK(D535),"""",MAX(FILTER({D535;F535;H535;J535;L535}, ISNUMBER({D535;F535;H535;J535;L535}))))"),"")</f>
        <v/>
      </c>
      <c r="C534" s="30"/>
      <c r="D534" s="31"/>
      <c r="E534" s="30"/>
      <c r="F534" s="31"/>
      <c r="G534" s="30"/>
      <c r="H534" s="31"/>
      <c r="I534" s="30"/>
      <c r="J534" s="31"/>
      <c r="K534" s="30"/>
      <c r="L534" s="31"/>
    </row>
    <row r="535">
      <c r="A535" s="32"/>
      <c r="B535" s="33"/>
      <c r="C535" s="34"/>
      <c r="D535" s="35"/>
      <c r="E535" s="34"/>
      <c r="F535" s="35"/>
      <c r="G535" s="34"/>
      <c r="H535" s="35"/>
      <c r="I535" s="34"/>
      <c r="J535" s="35"/>
      <c r="K535" s="34"/>
      <c r="L535" s="35"/>
    </row>
    <row r="536">
      <c r="A536" s="28">
        <v>267.0</v>
      </c>
      <c r="B536" s="29" t="str">
        <f>IFERROR(__xludf.DUMMYFUNCTION("IF(ISBLANK(D537),"""",MAX(FILTER({D537;F537;H537;J537;L537}, ISNUMBER({D537;F537;H537;J537;L537}))))"),"")</f>
        <v/>
      </c>
      <c r="C536" s="30"/>
      <c r="D536" s="31"/>
      <c r="E536" s="30"/>
      <c r="F536" s="31"/>
      <c r="G536" s="30"/>
      <c r="H536" s="31"/>
      <c r="I536" s="30"/>
      <c r="J536" s="31"/>
      <c r="K536" s="30"/>
      <c r="L536" s="31"/>
    </row>
    <row r="537">
      <c r="A537" s="32"/>
      <c r="B537" s="33"/>
      <c r="C537" s="34"/>
      <c r="D537" s="35"/>
      <c r="E537" s="34"/>
      <c r="F537" s="35"/>
      <c r="G537" s="34"/>
      <c r="H537" s="35"/>
      <c r="I537" s="34"/>
      <c r="J537" s="35"/>
      <c r="K537" s="34"/>
      <c r="L537" s="35"/>
    </row>
    <row r="538">
      <c r="A538" s="28">
        <v>268.0</v>
      </c>
      <c r="B538" s="29" t="str">
        <f>IFERROR(__xludf.DUMMYFUNCTION("IF(ISBLANK(D539),"""",MAX(FILTER({D539;F539;H539;J539;L539}, ISNUMBER({D539;F539;H539;J539;L539}))))"),"")</f>
        <v/>
      </c>
      <c r="C538" s="30"/>
      <c r="D538" s="31"/>
      <c r="E538" s="30"/>
      <c r="F538" s="31"/>
      <c r="G538" s="30"/>
      <c r="H538" s="31"/>
      <c r="I538" s="30"/>
      <c r="J538" s="31"/>
      <c r="K538" s="30"/>
      <c r="L538" s="31"/>
    </row>
    <row r="539">
      <c r="A539" s="32"/>
      <c r="B539" s="33"/>
      <c r="C539" s="34"/>
      <c r="D539" s="35"/>
      <c r="E539" s="34"/>
      <c r="F539" s="35"/>
      <c r="G539" s="34"/>
      <c r="H539" s="35"/>
      <c r="I539" s="34"/>
      <c r="J539" s="35"/>
      <c r="K539" s="34"/>
      <c r="L539" s="35"/>
    </row>
    <row r="540">
      <c r="A540" s="28">
        <v>269.0</v>
      </c>
      <c r="B540" s="29" t="str">
        <f>IFERROR(__xludf.DUMMYFUNCTION("IF(ISBLANK(D541),"""",MAX(FILTER({D541;F541;H541;J541;L541}, ISNUMBER({D541;F541;H541;J541;L541}))))"),"")</f>
        <v/>
      </c>
      <c r="C540" s="30"/>
      <c r="D540" s="31"/>
      <c r="E540" s="30"/>
      <c r="F540" s="31"/>
      <c r="G540" s="30"/>
      <c r="H540" s="31"/>
      <c r="I540" s="30"/>
      <c r="J540" s="31"/>
      <c r="K540" s="30"/>
      <c r="L540" s="31"/>
    </row>
    <row r="541">
      <c r="A541" s="32"/>
      <c r="B541" s="33"/>
      <c r="C541" s="34"/>
      <c r="D541" s="35"/>
      <c r="E541" s="34"/>
      <c r="F541" s="35"/>
      <c r="G541" s="34"/>
      <c r="H541" s="35"/>
      <c r="I541" s="34"/>
      <c r="J541" s="35"/>
      <c r="K541" s="34"/>
      <c r="L541" s="35"/>
    </row>
    <row r="542">
      <c r="A542" s="28">
        <v>270.0</v>
      </c>
      <c r="B542" s="29" t="str">
        <f>IFERROR(__xludf.DUMMYFUNCTION("IF(ISBLANK(D543),"""",MAX(FILTER({D543;F543;H543;J543;L543}, ISNUMBER({D543;F543;H543;J543;L543}))))"),"")</f>
        <v/>
      </c>
      <c r="C542" s="30"/>
      <c r="D542" s="31"/>
      <c r="E542" s="30"/>
      <c r="F542" s="31"/>
      <c r="G542" s="30"/>
      <c r="H542" s="31"/>
      <c r="I542" s="30"/>
      <c r="J542" s="31"/>
      <c r="K542" s="30"/>
      <c r="L542" s="31"/>
    </row>
    <row r="543">
      <c r="A543" s="32"/>
      <c r="B543" s="33"/>
      <c r="C543" s="34"/>
      <c r="D543" s="35"/>
      <c r="E543" s="34"/>
      <c r="F543" s="35"/>
      <c r="G543" s="34"/>
      <c r="H543" s="35"/>
      <c r="I543" s="34"/>
      <c r="J543" s="35"/>
      <c r="K543" s="34"/>
      <c r="L543" s="35"/>
    </row>
    <row r="544">
      <c r="A544" s="28">
        <v>271.0</v>
      </c>
      <c r="B544" s="29" t="str">
        <f>IFERROR(__xludf.DUMMYFUNCTION("IF(ISBLANK(D545),"""",MAX(FILTER({D545;F545;H545;J545;L545}, ISNUMBER({D545;F545;H545;J545;L545}))))"),"")</f>
        <v/>
      </c>
      <c r="C544" s="30"/>
      <c r="D544" s="31"/>
      <c r="E544" s="30"/>
      <c r="F544" s="31"/>
      <c r="G544" s="30"/>
      <c r="H544" s="31"/>
      <c r="I544" s="30"/>
      <c r="J544" s="31"/>
      <c r="K544" s="30"/>
      <c r="L544" s="31"/>
    </row>
    <row r="545">
      <c r="A545" s="32"/>
      <c r="B545" s="33"/>
      <c r="C545" s="34"/>
      <c r="D545" s="35"/>
      <c r="E545" s="34"/>
      <c r="F545" s="35"/>
      <c r="G545" s="34"/>
      <c r="H545" s="35"/>
      <c r="I545" s="34"/>
      <c r="J545" s="35"/>
      <c r="K545" s="34"/>
      <c r="L545" s="35"/>
    </row>
    <row r="546">
      <c r="A546" s="28">
        <v>272.0</v>
      </c>
      <c r="B546" s="29" t="str">
        <f>IFERROR(__xludf.DUMMYFUNCTION("IF(ISBLANK(D547),"""",MAX(FILTER({D547;F547;H547;J547;L547}, ISNUMBER({D547;F547;H547;J547;L547}))))"),"")</f>
        <v/>
      </c>
      <c r="C546" s="30"/>
      <c r="D546" s="31"/>
      <c r="E546" s="30"/>
      <c r="F546" s="31"/>
      <c r="G546" s="30"/>
      <c r="H546" s="31"/>
      <c r="I546" s="30"/>
      <c r="J546" s="31"/>
      <c r="K546" s="30"/>
      <c r="L546" s="31"/>
    </row>
    <row r="547">
      <c r="A547" s="32"/>
      <c r="B547" s="33"/>
      <c r="C547" s="34"/>
      <c r="D547" s="35"/>
      <c r="E547" s="34"/>
      <c r="F547" s="35"/>
      <c r="G547" s="34"/>
      <c r="H547" s="35"/>
      <c r="I547" s="34"/>
      <c r="J547" s="35"/>
      <c r="K547" s="34"/>
      <c r="L547" s="35"/>
    </row>
    <row r="548">
      <c r="A548" s="28">
        <v>273.0</v>
      </c>
      <c r="B548" s="29" t="str">
        <f>IFERROR(__xludf.DUMMYFUNCTION("IF(ISBLANK(D549),"""",MAX(FILTER({D549;F549;H549;J549;L549}, ISNUMBER({D549;F549;H549;J549;L549}))))"),"")</f>
        <v/>
      </c>
      <c r="C548" s="30"/>
      <c r="D548" s="31"/>
      <c r="E548" s="30"/>
      <c r="F548" s="31"/>
      <c r="G548" s="30"/>
      <c r="H548" s="31"/>
      <c r="I548" s="30"/>
      <c r="J548" s="31"/>
      <c r="K548" s="30"/>
      <c r="L548" s="31"/>
    </row>
    <row r="549">
      <c r="A549" s="32"/>
      <c r="B549" s="33"/>
      <c r="C549" s="34"/>
      <c r="D549" s="35"/>
      <c r="E549" s="34"/>
      <c r="F549" s="35"/>
      <c r="G549" s="34"/>
      <c r="H549" s="35"/>
      <c r="I549" s="34"/>
      <c r="J549" s="35"/>
      <c r="K549" s="34"/>
      <c r="L549" s="35"/>
    </row>
    <row r="550">
      <c r="A550" s="28">
        <v>274.0</v>
      </c>
      <c r="B550" s="29" t="str">
        <f>IFERROR(__xludf.DUMMYFUNCTION("IF(ISBLANK(D551),"""",MAX(FILTER({D551;F551;H551;J551;L551}, ISNUMBER({D551;F551;H551;J551;L551}))))"),"")</f>
        <v/>
      </c>
      <c r="C550" s="30"/>
      <c r="D550" s="31"/>
      <c r="E550" s="30"/>
      <c r="F550" s="31"/>
      <c r="G550" s="30"/>
      <c r="H550" s="31"/>
      <c r="I550" s="30"/>
      <c r="J550" s="31"/>
      <c r="K550" s="30"/>
      <c r="L550" s="31"/>
    </row>
    <row r="551">
      <c r="A551" s="32"/>
      <c r="B551" s="33"/>
      <c r="C551" s="34"/>
      <c r="D551" s="35"/>
      <c r="E551" s="34"/>
      <c r="F551" s="35"/>
      <c r="G551" s="34"/>
      <c r="H551" s="35"/>
      <c r="I551" s="34"/>
      <c r="J551" s="35"/>
      <c r="K551" s="34"/>
      <c r="L551" s="35"/>
    </row>
    <row r="552">
      <c r="A552" s="28">
        <v>275.0</v>
      </c>
      <c r="B552" s="29" t="str">
        <f>IFERROR(__xludf.DUMMYFUNCTION("IF(ISBLANK(D553),"""",MAX(FILTER({D553;F553;H553;J553;L553}, ISNUMBER({D553;F553;H553;J553;L553}))))"),"")</f>
        <v/>
      </c>
      <c r="C552" s="30"/>
      <c r="D552" s="31"/>
      <c r="E552" s="30"/>
      <c r="F552" s="31"/>
      <c r="G552" s="30"/>
      <c r="H552" s="31"/>
      <c r="I552" s="30"/>
      <c r="J552" s="31"/>
      <c r="K552" s="30"/>
      <c r="L552" s="31"/>
    </row>
    <row r="553">
      <c r="A553" s="32"/>
      <c r="B553" s="33"/>
      <c r="C553" s="34"/>
      <c r="D553" s="35"/>
      <c r="E553" s="34"/>
      <c r="F553" s="35"/>
      <c r="G553" s="34"/>
      <c r="H553" s="35"/>
      <c r="I553" s="34"/>
      <c r="J553" s="35"/>
      <c r="K553" s="34"/>
      <c r="L553" s="35"/>
    </row>
    <row r="554">
      <c r="A554" s="28">
        <v>276.0</v>
      </c>
      <c r="B554" s="29" t="str">
        <f>IFERROR(__xludf.DUMMYFUNCTION("IF(ISBLANK(D555),"""",MAX(FILTER({D555;F555;H555;J555;L555}, ISNUMBER({D555;F555;H555;J555;L555}))))"),"")</f>
        <v/>
      </c>
      <c r="C554" s="30"/>
      <c r="D554" s="31"/>
      <c r="E554" s="30"/>
      <c r="F554" s="31"/>
      <c r="G554" s="30"/>
      <c r="H554" s="31"/>
      <c r="I554" s="30"/>
      <c r="J554" s="31"/>
      <c r="K554" s="30"/>
      <c r="L554" s="31"/>
    </row>
    <row r="555">
      <c r="A555" s="32"/>
      <c r="B555" s="33"/>
      <c r="C555" s="34"/>
      <c r="D555" s="35"/>
      <c r="E555" s="34"/>
      <c r="F555" s="35"/>
      <c r="G555" s="34"/>
      <c r="H555" s="35"/>
      <c r="I555" s="34"/>
      <c r="J555" s="35"/>
      <c r="K555" s="34"/>
      <c r="L555" s="35"/>
    </row>
    <row r="556">
      <c r="A556" s="28">
        <v>277.0</v>
      </c>
      <c r="B556" s="29" t="str">
        <f>IFERROR(__xludf.DUMMYFUNCTION("IF(ISBLANK(D557),"""",MAX(FILTER({D557;F557;H557;J557;L557}, ISNUMBER({D557;F557;H557;J557;L557}))))"),"")</f>
        <v/>
      </c>
      <c r="C556" s="30"/>
      <c r="D556" s="31"/>
      <c r="E556" s="30"/>
      <c r="F556" s="31"/>
      <c r="G556" s="30"/>
      <c r="H556" s="31"/>
      <c r="I556" s="30"/>
      <c r="J556" s="31"/>
      <c r="K556" s="30"/>
      <c r="L556" s="31"/>
    </row>
    <row r="557">
      <c r="A557" s="32"/>
      <c r="B557" s="33"/>
      <c r="C557" s="34"/>
      <c r="D557" s="35"/>
      <c r="E557" s="34"/>
      <c r="F557" s="35"/>
      <c r="G557" s="34"/>
      <c r="H557" s="35"/>
      <c r="I557" s="34"/>
      <c r="J557" s="35"/>
      <c r="K557" s="34"/>
      <c r="L557" s="35"/>
    </row>
    <row r="558">
      <c r="A558" s="28">
        <v>278.0</v>
      </c>
      <c r="B558" s="29" t="str">
        <f>IFERROR(__xludf.DUMMYFUNCTION("IF(ISBLANK(D559),"""",MAX(FILTER({D559;F559;H559;J559;L559}, ISNUMBER({D559;F559;H559;J559;L559}))))"),"")</f>
        <v/>
      </c>
      <c r="C558" s="30"/>
      <c r="D558" s="31"/>
      <c r="E558" s="30"/>
      <c r="F558" s="31"/>
      <c r="G558" s="30"/>
      <c r="H558" s="31"/>
      <c r="I558" s="30"/>
      <c r="J558" s="31"/>
      <c r="K558" s="30"/>
      <c r="L558" s="31"/>
    </row>
    <row r="559">
      <c r="A559" s="32"/>
      <c r="B559" s="33"/>
      <c r="C559" s="34"/>
      <c r="D559" s="35"/>
      <c r="E559" s="34"/>
      <c r="F559" s="35"/>
      <c r="G559" s="34"/>
      <c r="H559" s="35"/>
      <c r="I559" s="34"/>
      <c r="J559" s="35"/>
      <c r="K559" s="34"/>
      <c r="L559" s="35"/>
    </row>
    <row r="560">
      <c r="A560" s="28">
        <v>279.0</v>
      </c>
      <c r="B560" s="29" t="str">
        <f>IFERROR(__xludf.DUMMYFUNCTION("IF(ISBLANK(D561),"""",MAX(FILTER({D561;F561;H561;J561;L561}, ISNUMBER({D561;F561;H561;J561;L561}))))"),"")</f>
        <v/>
      </c>
      <c r="C560" s="30"/>
      <c r="D560" s="31"/>
      <c r="E560" s="30"/>
      <c r="F560" s="31"/>
      <c r="G560" s="30"/>
      <c r="H560" s="31"/>
      <c r="I560" s="30"/>
      <c r="J560" s="31"/>
      <c r="K560" s="30"/>
      <c r="L560" s="31"/>
    </row>
    <row r="561">
      <c r="A561" s="32"/>
      <c r="B561" s="33"/>
      <c r="C561" s="34"/>
      <c r="D561" s="35"/>
      <c r="E561" s="34"/>
      <c r="F561" s="35"/>
      <c r="G561" s="34"/>
      <c r="H561" s="35"/>
      <c r="I561" s="34"/>
      <c r="J561" s="35"/>
      <c r="K561" s="34"/>
      <c r="L561" s="35"/>
    </row>
    <row r="562">
      <c r="A562" s="28">
        <v>280.0</v>
      </c>
      <c r="B562" s="29" t="str">
        <f>IFERROR(__xludf.DUMMYFUNCTION("IF(ISBLANK(D563),"""",MAX(FILTER({D563;F563;H563;J563;L563}, ISNUMBER({D563;F563;H563;J563;L563}))))"),"")</f>
        <v/>
      </c>
      <c r="C562" s="30"/>
      <c r="D562" s="31"/>
      <c r="E562" s="30"/>
      <c r="F562" s="31"/>
      <c r="G562" s="30"/>
      <c r="H562" s="31"/>
      <c r="I562" s="30"/>
      <c r="J562" s="31"/>
      <c r="K562" s="30"/>
      <c r="L562" s="31"/>
    </row>
    <row r="563">
      <c r="A563" s="32"/>
      <c r="B563" s="33"/>
      <c r="C563" s="34"/>
      <c r="D563" s="35"/>
      <c r="E563" s="34"/>
      <c r="F563" s="35"/>
      <c r="G563" s="34"/>
      <c r="H563" s="35"/>
      <c r="I563" s="34"/>
      <c r="J563" s="35"/>
      <c r="K563" s="34"/>
      <c r="L563" s="35"/>
    </row>
    <row r="564">
      <c r="A564" s="28">
        <v>281.0</v>
      </c>
      <c r="B564" s="29" t="str">
        <f>IFERROR(__xludf.DUMMYFUNCTION("IF(ISBLANK(D565),"""",MAX(FILTER({D565;F565;H565;J565;L565}, ISNUMBER({D565;F565;H565;J565;L565}))))"),"")</f>
        <v/>
      </c>
      <c r="C564" s="30"/>
      <c r="D564" s="31"/>
      <c r="E564" s="30"/>
      <c r="F564" s="31"/>
      <c r="G564" s="30"/>
      <c r="H564" s="31"/>
      <c r="I564" s="30"/>
      <c r="J564" s="31"/>
      <c r="K564" s="30"/>
      <c r="L564" s="31"/>
    </row>
    <row r="565">
      <c r="A565" s="32"/>
      <c r="B565" s="33"/>
      <c r="C565" s="34"/>
      <c r="D565" s="35"/>
      <c r="E565" s="34"/>
      <c r="F565" s="35"/>
      <c r="G565" s="34"/>
      <c r="H565" s="35"/>
      <c r="I565" s="34"/>
      <c r="J565" s="35"/>
      <c r="K565" s="34"/>
      <c r="L565" s="35"/>
    </row>
    <row r="566">
      <c r="A566" s="28">
        <v>282.0</v>
      </c>
      <c r="B566" s="29" t="str">
        <f>IFERROR(__xludf.DUMMYFUNCTION("IF(ISBLANK(D567),"""",MAX(FILTER({D567;F567;H567;J567;L567}, ISNUMBER({D567;F567;H567;J567;L567}))))"),"")</f>
        <v/>
      </c>
      <c r="C566" s="30"/>
      <c r="D566" s="31"/>
      <c r="E566" s="30"/>
      <c r="F566" s="31"/>
      <c r="G566" s="30"/>
      <c r="H566" s="31"/>
      <c r="I566" s="30"/>
      <c r="J566" s="31"/>
      <c r="K566" s="30"/>
      <c r="L566" s="31"/>
    </row>
    <row r="567">
      <c r="A567" s="32"/>
      <c r="B567" s="33"/>
      <c r="C567" s="34"/>
      <c r="D567" s="35"/>
      <c r="E567" s="34"/>
      <c r="F567" s="35"/>
      <c r="G567" s="34"/>
      <c r="H567" s="35"/>
      <c r="I567" s="34"/>
      <c r="J567" s="35"/>
      <c r="K567" s="34"/>
      <c r="L567" s="35"/>
    </row>
    <row r="568">
      <c r="A568" s="28">
        <v>283.0</v>
      </c>
      <c r="B568" s="29" t="str">
        <f>IFERROR(__xludf.DUMMYFUNCTION("IF(ISBLANK(D569),"""",MAX(FILTER({D569;F569;H569;J569;L569}, ISNUMBER({D569;F569;H569;J569;L569}))))"),"")</f>
        <v/>
      </c>
      <c r="C568" s="30"/>
      <c r="D568" s="31"/>
      <c r="E568" s="30"/>
      <c r="F568" s="31"/>
      <c r="G568" s="30"/>
      <c r="H568" s="31"/>
      <c r="I568" s="30"/>
      <c r="J568" s="31"/>
      <c r="K568" s="30"/>
      <c r="L568" s="31"/>
    </row>
    <row r="569">
      <c r="A569" s="32"/>
      <c r="B569" s="33"/>
      <c r="C569" s="34"/>
      <c r="D569" s="35"/>
      <c r="E569" s="34"/>
      <c r="F569" s="35"/>
      <c r="G569" s="34"/>
      <c r="H569" s="35"/>
      <c r="I569" s="34"/>
      <c r="J569" s="35"/>
      <c r="K569" s="34"/>
      <c r="L569" s="35"/>
    </row>
    <row r="570">
      <c r="A570" s="28">
        <v>284.0</v>
      </c>
      <c r="B570" s="29" t="str">
        <f>IFERROR(__xludf.DUMMYFUNCTION("IF(ISBLANK(D571),"""",MAX(FILTER({D571;F571;H571;J571;L571}, ISNUMBER({D571;F571;H571;J571;L571}))))"),"")</f>
        <v/>
      </c>
      <c r="C570" s="30"/>
      <c r="D570" s="31"/>
      <c r="E570" s="30"/>
      <c r="F570" s="31"/>
      <c r="G570" s="30"/>
      <c r="H570" s="31"/>
      <c r="I570" s="30"/>
      <c r="J570" s="31"/>
      <c r="K570" s="30"/>
      <c r="L570" s="31"/>
    </row>
    <row r="571">
      <c r="A571" s="32"/>
      <c r="B571" s="33"/>
      <c r="C571" s="34"/>
      <c r="D571" s="35"/>
      <c r="E571" s="34"/>
      <c r="F571" s="35"/>
      <c r="G571" s="34"/>
      <c r="H571" s="35"/>
      <c r="I571" s="34"/>
      <c r="J571" s="35"/>
      <c r="K571" s="34"/>
      <c r="L571" s="35"/>
    </row>
    <row r="572">
      <c r="A572" s="28">
        <v>285.0</v>
      </c>
      <c r="B572" s="29" t="str">
        <f>IFERROR(__xludf.DUMMYFUNCTION("IF(ISBLANK(D573),"""",MAX(FILTER({D573;F573;H573;J573;L573}, ISNUMBER({D573;F573;H573;J573;L573}))))"),"")</f>
        <v/>
      </c>
      <c r="C572" s="30"/>
      <c r="D572" s="31"/>
      <c r="E572" s="30"/>
      <c r="F572" s="31"/>
      <c r="G572" s="30"/>
      <c r="H572" s="31"/>
      <c r="I572" s="30"/>
      <c r="J572" s="31"/>
      <c r="K572" s="30"/>
      <c r="L572" s="31"/>
    </row>
    <row r="573">
      <c r="A573" s="32"/>
      <c r="B573" s="33"/>
      <c r="C573" s="34"/>
      <c r="D573" s="35"/>
      <c r="E573" s="34"/>
      <c r="F573" s="35"/>
      <c r="G573" s="34"/>
      <c r="H573" s="35"/>
      <c r="I573" s="34"/>
      <c r="J573" s="35"/>
      <c r="K573" s="34"/>
      <c r="L573" s="35"/>
    </row>
    <row r="574">
      <c r="A574" s="28">
        <v>286.0</v>
      </c>
      <c r="B574" s="29" t="str">
        <f>IFERROR(__xludf.DUMMYFUNCTION("IF(ISBLANK(D575),"""",MAX(FILTER({D575;F575;H575;J575;L575}, ISNUMBER({D575;F575;H575;J575;L575}))))"),"")</f>
        <v/>
      </c>
      <c r="C574" s="30"/>
      <c r="D574" s="31"/>
      <c r="E574" s="30"/>
      <c r="F574" s="31"/>
      <c r="G574" s="30"/>
      <c r="H574" s="31"/>
      <c r="I574" s="30"/>
      <c r="J574" s="31"/>
      <c r="K574" s="30"/>
      <c r="L574" s="31"/>
    </row>
    <row r="575">
      <c r="A575" s="32"/>
      <c r="B575" s="33"/>
      <c r="C575" s="34"/>
      <c r="D575" s="35"/>
      <c r="E575" s="34"/>
      <c r="F575" s="35"/>
      <c r="G575" s="34"/>
      <c r="H575" s="35"/>
      <c r="I575" s="34"/>
      <c r="J575" s="35"/>
      <c r="K575" s="34"/>
      <c r="L575" s="35"/>
    </row>
    <row r="576">
      <c r="A576" s="28">
        <v>287.0</v>
      </c>
      <c r="B576" s="29" t="str">
        <f>IFERROR(__xludf.DUMMYFUNCTION("IF(ISBLANK(D577),"""",MAX(FILTER({D577;F577;H577;J577;L577}, ISNUMBER({D577;F577;H577;J577;L577}))))"),"")</f>
        <v/>
      </c>
      <c r="C576" s="30"/>
      <c r="D576" s="31"/>
      <c r="E576" s="30"/>
      <c r="F576" s="31"/>
      <c r="G576" s="30"/>
      <c r="H576" s="31"/>
      <c r="I576" s="30"/>
      <c r="J576" s="31"/>
      <c r="K576" s="30"/>
      <c r="L576" s="31"/>
    </row>
    <row r="577">
      <c r="A577" s="32"/>
      <c r="B577" s="33"/>
      <c r="C577" s="34"/>
      <c r="D577" s="35"/>
      <c r="E577" s="34"/>
      <c r="F577" s="35"/>
      <c r="G577" s="34"/>
      <c r="H577" s="35"/>
      <c r="I577" s="34"/>
      <c r="J577" s="35"/>
      <c r="K577" s="34"/>
      <c r="L577" s="35"/>
    </row>
    <row r="578">
      <c r="A578" s="28">
        <v>288.0</v>
      </c>
      <c r="B578" s="29" t="str">
        <f>IFERROR(__xludf.DUMMYFUNCTION("IF(ISBLANK(D579),"""",MAX(FILTER({D579;F579;H579;J579;L579}, ISNUMBER({D579;F579;H579;J579;L579}))))"),"")</f>
        <v/>
      </c>
      <c r="C578" s="30"/>
      <c r="D578" s="31"/>
      <c r="E578" s="30"/>
      <c r="F578" s="31"/>
      <c r="G578" s="30"/>
      <c r="H578" s="31"/>
      <c r="I578" s="30"/>
      <c r="J578" s="31"/>
      <c r="K578" s="30"/>
      <c r="L578" s="31"/>
    </row>
    <row r="579">
      <c r="A579" s="32"/>
      <c r="B579" s="33"/>
      <c r="C579" s="34"/>
      <c r="D579" s="35"/>
      <c r="E579" s="34"/>
      <c r="F579" s="35"/>
      <c r="G579" s="34"/>
      <c r="H579" s="35"/>
      <c r="I579" s="34"/>
      <c r="J579" s="35"/>
      <c r="K579" s="34"/>
      <c r="L579" s="35"/>
    </row>
    <row r="580">
      <c r="A580" s="28">
        <v>289.0</v>
      </c>
      <c r="B580" s="29" t="str">
        <f>IFERROR(__xludf.DUMMYFUNCTION("IF(ISBLANK(D581),"""",MAX(FILTER({D581;F581;H581;J581;L581}, ISNUMBER({D581;F581;H581;J581;L581}))))"),"")</f>
        <v/>
      </c>
      <c r="C580" s="30"/>
      <c r="D580" s="31"/>
      <c r="E580" s="30"/>
      <c r="F580" s="31"/>
      <c r="G580" s="30"/>
      <c r="H580" s="31"/>
      <c r="I580" s="30"/>
      <c r="J580" s="31"/>
      <c r="K580" s="30"/>
      <c r="L580" s="31"/>
    </row>
    <row r="581">
      <c r="A581" s="32"/>
      <c r="B581" s="33"/>
      <c r="C581" s="34"/>
      <c r="D581" s="35"/>
      <c r="E581" s="34"/>
      <c r="F581" s="35"/>
      <c r="G581" s="34"/>
      <c r="H581" s="35"/>
      <c r="I581" s="34"/>
      <c r="J581" s="35"/>
      <c r="K581" s="34"/>
      <c r="L581" s="35"/>
    </row>
    <row r="582">
      <c r="A582" s="28">
        <v>290.0</v>
      </c>
      <c r="B582" s="29" t="str">
        <f>IFERROR(__xludf.DUMMYFUNCTION("IF(ISBLANK(D583),"""",MAX(FILTER({D583;F583;H583;J583;L583}, ISNUMBER({D583;F583;H583;J583;L583}))))"),"")</f>
        <v/>
      </c>
      <c r="C582" s="30"/>
      <c r="D582" s="31"/>
      <c r="E582" s="30"/>
      <c r="F582" s="31"/>
      <c r="G582" s="30"/>
      <c r="H582" s="31"/>
      <c r="I582" s="30"/>
      <c r="J582" s="31"/>
      <c r="K582" s="30"/>
      <c r="L582" s="31"/>
    </row>
    <row r="583">
      <c r="A583" s="32"/>
      <c r="B583" s="33"/>
      <c r="C583" s="34"/>
      <c r="D583" s="35"/>
      <c r="E583" s="34"/>
      <c r="F583" s="35"/>
      <c r="G583" s="34"/>
      <c r="H583" s="35"/>
      <c r="I583" s="34"/>
      <c r="J583" s="35"/>
      <c r="K583" s="34"/>
      <c r="L583" s="35"/>
    </row>
    <row r="584">
      <c r="A584" s="28">
        <v>291.0</v>
      </c>
      <c r="B584" s="29" t="str">
        <f>IFERROR(__xludf.DUMMYFUNCTION("IF(ISBLANK(D585),"""",MAX(FILTER({D585;F585;H585;J585;L585}, ISNUMBER({D585;F585;H585;J585;L585}))))"),"")</f>
        <v/>
      </c>
      <c r="C584" s="30"/>
      <c r="D584" s="31"/>
      <c r="E584" s="30"/>
      <c r="F584" s="31"/>
      <c r="G584" s="30"/>
      <c r="H584" s="31"/>
      <c r="I584" s="30"/>
      <c r="J584" s="31"/>
      <c r="K584" s="30"/>
      <c r="L584" s="31"/>
    </row>
    <row r="585">
      <c r="A585" s="32"/>
      <c r="B585" s="33"/>
      <c r="C585" s="34"/>
      <c r="D585" s="35"/>
      <c r="E585" s="34"/>
      <c r="F585" s="35"/>
      <c r="G585" s="34"/>
      <c r="H585" s="35"/>
      <c r="I585" s="34"/>
      <c r="J585" s="35"/>
      <c r="K585" s="34"/>
      <c r="L585" s="35"/>
    </row>
    <row r="586">
      <c r="A586" s="28">
        <v>292.0</v>
      </c>
      <c r="B586" s="29" t="str">
        <f>IFERROR(__xludf.DUMMYFUNCTION("IF(ISBLANK(D587),"""",MAX(FILTER({D587;F587;H587;J587;L587}, ISNUMBER({D587;F587;H587;J587;L587}))))"),"")</f>
        <v/>
      </c>
      <c r="C586" s="30"/>
      <c r="D586" s="31"/>
      <c r="E586" s="30"/>
      <c r="F586" s="31"/>
      <c r="G586" s="30"/>
      <c r="H586" s="31"/>
      <c r="I586" s="30"/>
      <c r="J586" s="31"/>
      <c r="K586" s="30"/>
      <c r="L586" s="31"/>
    </row>
    <row r="587">
      <c r="A587" s="32"/>
      <c r="B587" s="33"/>
      <c r="C587" s="34"/>
      <c r="D587" s="35"/>
      <c r="E587" s="34"/>
      <c r="F587" s="35"/>
      <c r="G587" s="34"/>
      <c r="H587" s="35"/>
      <c r="I587" s="34"/>
      <c r="J587" s="35"/>
      <c r="K587" s="34"/>
      <c r="L587" s="35"/>
    </row>
    <row r="588">
      <c r="A588" s="28">
        <v>293.0</v>
      </c>
      <c r="B588" s="29" t="str">
        <f>IFERROR(__xludf.DUMMYFUNCTION("IF(ISBLANK(D589),"""",MAX(FILTER({D589;F589;H589;J589;L589}, ISNUMBER({D589;F589;H589;J589;L589}))))"),"")</f>
        <v/>
      </c>
      <c r="C588" s="30"/>
      <c r="D588" s="31"/>
      <c r="E588" s="30"/>
      <c r="F588" s="31"/>
      <c r="G588" s="30"/>
      <c r="H588" s="31"/>
      <c r="I588" s="30"/>
      <c r="J588" s="31"/>
      <c r="K588" s="30"/>
      <c r="L588" s="31"/>
    </row>
    <row r="589">
      <c r="A589" s="32"/>
      <c r="B589" s="33"/>
      <c r="C589" s="34"/>
      <c r="D589" s="35"/>
      <c r="E589" s="34"/>
      <c r="F589" s="35"/>
      <c r="G589" s="34"/>
      <c r="H589" s="35"/>
      <c r="I589" s="34"/>
      <c r="J589" s="35"/>
      <c r="K589" s="34"/>
      <c r="L589" s="35"/>
    </row>
    <row r="590">
      <c r="A590" s="28">
        <v>294.0</v>
      </c>
      <c r="B590" s="29" t="str">
        <f>IFERROR(__xludf.DUMMYFUNCTION("IF(ISBLANK(D591),"""",MAX(FILTER({D591;F591;H591;J591;L591}, ISNUMBER({D591;F591;H591;J591;L591}))))"),"")</f>
        <v/>
      </c>
      <c r="C590" s="30"/>
      <c r="D590" s="31"/>
      <c r="E590" s="30"/>
      <c r="F590" s="31"/>
      <c r="G590" s="30"/>
      <c r="H590" s="31"/>
      <c r="I590" s="30"/>
      <c r="J590" s="31"/>
      <c r="K590" s="30"/>
      <c r="L590" s="31"/>
    </row>
    <row r="591">
      <c r="A591" s="32"/>
      <c r="B591" s="33"/>
      <c r="C591" s="34"/>
      <c r="D591" s="35"/>
      <c r="E591" s="34"/>
      <c r="F591" s="35"/>
      <c r="G591" s="34"/>
      <c r="H591" s="35"/>
      <c r="I591" s="34"/>
      <c r="J591" s="35"/>
      <c r="K591" s="34"/>
      <c r="L591" s="35"/>
    </row>
    <row r="592">
      <c r="A592" s="28">
        <v>295.0</v>
      </c>
      <c r="B592" s="29" t="str">
        <f>IFERROR(__xludf.DUMMYFUNCTION("IF(ISBLANK(D593),"""",MAX(FILTER({D593;F593;H593;J593;L593}, ISNUMBER({D593;F593;H593;J593;L593}))))"),"")</f>
        <v/>
      </c>
      <c r="C592" s="30"/>
      <c r="D592" s="31"/>
      <c r="E592" s="30"/>
      <c r="F592" s="31"/>
      <c r="G592" s="30"/>
      <c r="H592" s="31"/>
      <c r="I592" s="30"/>
      <c r="J592" s="31"/>
      <c r="K592" s="30"/>
      <c r="L592" s="31"/>
    </row>
    <row r="593">
      <c r="A593" s="32"/>
      <c r="B593" s="33"/>
      <c r="C593" s="34"/>
      <c r="D593" s="35"/>
      <c r="E593" s="34"/>
      <c r="F593" s="35"/>
      <c r="G593" s="34"/>
      <c r="H593" s="35"/>
      <c r="I593" s="34"/>
      <c r="J593" s="35"/>
      <c r="K593" s="34"/>
      <c r="L593" s="35"/>
    </row>
    <row r="594">
      <c r="A594" s="28">
        <v>296.0</v>
      </c>
      <c r="B594" s="29" t="str">
        <f>IFERROR(__xludf.DUMMYFUNCTION("IF(ISBLANK(D595),"""",MAX(FILTER({D595;F595;H595;J595;L595}, ISNUMBER({D595;F595;H595;J595;L595}))))"),"")</f>
        <v/>
      </c>
      <c r="C594" s="30"/>
      <c r="D594" s="31"/>
      <c r="E594" s="30"/>
      <c r="F594" s="31"/>
      <c r="G594" s="30"/>
      <c r="H594" s="31"/>
      <c r="I594" s="30"/>
      <c r="J594" s="31"/>
      <c r="K594" s="30"/>
      <c r="L594" s="31"/>
    </row>
    <row r="595">
      <c r="A595" s="32"/>
      <c r="B595" s="33"/>
      <c r="C595" s="34"/>
      <c r="D595" s="35"/>
      <c r="E595" s="34"/>
      <c r="F595" s="35"/>
      <c r="G595" s="34"/>
      <c r="H595" s="35"/>
      <c r="I595" s="34"/>
      <c r="J595" s="35"/>
      <c r="K595" s="34"/>
      <c r="L595" s="35"/>
    </row>
    <row r="596">
      <c r="A596" s="28">
        <v>297.0</v>
      </c>
      <c r="B596" s="29" t="str">
        <f>IFERROR(__xludf.DUMMYFUNCTION("IF(ISBLANK(D597),"""",MAX(FILTER({D597;F597;H597;J597;L597}, ISNUMBER({D597;F597;H597;J597;L597}))))"),"")</f>
        <v/>
      </c>
      <c r="C596" s="30"/>
      <c r="D596" s="31"/>
      <c r="E596" s="30"/>
      <c r="F596" s="31"/>
      <c r="G596" s="30"/>
      <c r="H596" s="31"/>
      <c r="I596" s="30"/>
      <c r="J596" s="31"/>
      <c r="K596" s="30"/>
      <c r="L596" s="31"/>
    </row>
    <row r="597">
      <c r="A597" s="32"/>
      <c r="B597" s="33"/>
      <c r="C597" s="34"/>
      <c r="D597" s="35"/>
      <c r="E597" s="34"/>
      <c r="F597" s="35"/>
      <c r="G597" s="34"/>
      <c r="H597" s="35"/>
      <c r="I597" s="34"/>
      <c r="J597" s="35"/>
      <c r="K597" s="34"/>
      <c r="L597" s="35"/>
    </row>
    <row r="598">
      <c r="A598" s="28">
        <v>298.0</v>
      </c>
      <c r="B598" s="29" t="str">
        <f>IFERROR(__xludf.DUMMYFUNCTION("IF(ISBLANK(D599),"""",MAX(FILTER({D599;F599;H599;J599;L599}, ISNUMBER({D599;F599;H599;J599;L599}))))"),"")</f>
        <v/>
      </c>
      <c r="C598" s="30"/>
      <c r="D598" s="31"/>
      <c r="E598" s="30"/>
      <c r="F598" s="31"/>
      <c r="G598" s="30"/>
      <c r="H598" s="31"/>
      <c r="I598" s="30"/>
      <c r="J598" s="31"/>
      <c r="K598" s="30"/>
      <c r="L598" s="31"/>
    </row>
    <row r="599">
      <c r="A599" s="32"/>
      <c r="B599" s="33"/>
      <c r="C599" s="34"/>
      <c r="D599" s="35"/>
      <c r="E599" s="34"/>
      <c r="F599" s="35"/>
      <c r="G599" s="34"/>
      <c r="H599" s="35"/>
      <c r="I599" s="34"/>
      <c r="J599" s="35"/>
      <c r="K599" s="34"/>
      <c r="L599" s="35"/>
    </row>
    <row r="600">
      <c r="A600" s="28">
        <v>299.0</v>
      </c>
      <c r="B600" s="29" t="str">
        <f>IFERROR(__xludf.DUMMYFUNCTION("IF(ISBLANK(D601),"""",MAX(FILTER({D601;F601;H601;J601;L601}, ISNUMBER({D601;F601;H601;J601;L601}))))"),"")</f>
        <v/>
      </c>
      <c r="C600" s="30"/>
      <c r="D600" s="31"/>
      <c r="E600" s="30"/>
      <c r="F600" s="31"/>
      <c r="G600" s="30"/>
      <c r="H600" s="31"/>
      <c r="I600" s="30"/>
      <c r="J600" s="31"/>
      <c r="K600" s="30"/>
      <c r="L600" s="31"/>
    </row>
    <row r="601">
      <c r="A601" s="49"/>
      <c r="B601" s="50"/>
      <c r="C601" s="51"/>
      <c r="D601" s="52"/>
      <c r="E601" s="51"/>
      <c r="F601" s="52"/>
      <c r="G601" s="51"/>
      <c r="H601" s="52"/>
      <c r="I601" s="51"/>
      <c r="J601" s="52"/>
      <c r="K601" s="51"/>
      <c r="L601" s="52"/>
    </row>
    <row r="602">
      <c r="A602" s="53">
        <v>300.0</v>
      </c>
      <c r="B602" s="54" t="str">
        <f>IFERROR(__xludf.DUMMYFUNCTION("IF(ISBLANK(D603),"""",MAX(FILTER({D603;F603;H603;J603;L603}, ISNUMBER({D603;F603;H603;J603;L603}))))"),"")</f>
        <v/>
      </c>
      <c r="C602" s="30"/>
      <c r="D602" s="31"/>
      <c r="E602" s="30"/>
      <c r="F602" s="31"/>
      <c r="G602" s="30"/>
      <c r="H602" s="31"/>
      <c r="I602" s="30"/>
      <c r="J602" s="31"/>
      <c r="K602" s="30"/>
      <c r="L602" s="31"/>
    </row>
    <row r="603">
      <c r="A603" s="49"/>
      <c r="B603" s="50"/>
      <c r="C603" s="51"/>
      <c r="D603" s="52"/>
      <c r="E603" s="51"/>
      <c r="F603" s="52"/>
      <c r="G603" s="51"/>
      <c r="H603" s="52"/>
      <c r="I603" s="51"/>
      <c r="J603" s="52"/>
      <c r="K603" s="51"/>
      <c r="L603" s="52"/>
    </row>
  </sheetData>
  <mergeCells count="2108">
    <mergeCell ref="A12:A13"/>
    <mergeCell ref="B14:B15"/>
    <mergeCell ref="C14:D14"/>
    <mergeCell ref="E14:F14"/>
    <mergeCell ref="G14:H14"/>
    <mergeCell ref="I14:J14"/>
    <mergeCell ref="K14:L14"/>
    <mergeCell ref="A14:A15"/>
    <mergeCell ref="B16:B17"/>
    <mergeCell ref="C16:D16"/>
    <mergeCell ref="E16:F16"/>
    <mergeCell ref="G16:H16"/>
    <mergeCell ref="I16:J16"/>
    <mergeCell ref="K16:L16"/>
    <mergeCell ref="A16:A17"/>
    <mergeCell ref="B18:B19"/>
    <mergeCell ref="C18:D18"/>
    <mergeCell ref="E18:F18"/>
    <mergeCell ref="G18:H18"/>
    <mergeCell ref="I18:J18"/>
    <mergeCell ref="K18:L18"/>
    <mergeCell ref="A18:A19"/>
    <mergeCell ref="B20:B21"/>
    <mergeCell ref="C20:D20"/>
    <mergeCell ref="E20:F20"/>
    <mergeCell ref="G20:H20"/>
    <mergeCell ref="I20:J20"/>
    <mergeCell ref="K20:L20"/>
    <mergeCell ref="A20:A21"/>
    <mergeCell ref="B22:B23"/>
    <mergeCell ref="C22:D22"/>
    <mergeCell ref="E22:F22"/>
    <mergeCell ref="G22:H22"/>
    <mergeCell ref="I22:J22"/>
    <mergeCell ref="K22:L22"/>
    <mergeCell ref="A22:A23"/>
    <mergeCell ref="B24:B25"/>
    <mergeCell ref="C24:D24"/>
    <mergeCell ref="E24:F24"/>
    <mergeCell ref="G24:H24"/>
    <mergeCell ref="I24:J24"/>
    <mergeCell ref="K24:L24"/>
    <mergeCell ref="A24:A25"/>
    <mergeCell ref="B26:B27"/>
    <mergeCell ref="C26:D26"/>
    <mergeCell ref="E26:F26"/>
    <mergeCell ref="G26:H26"/>
    <mergeCell ref="I26:J26"/>
    <mergeCell ref="K26:L26"/>
    <mergeCell ref="A26:A27"/>
    <mergeCell ref="B28:B29"/>
    <mergeCell ref="C28:D28"/>
    <mergeCell ref="E28:F28"/>
    <mergeCell ref="G28:H28"/>
    <mergeCell ref="I28:J28"/>
    <mergeCell ref="K28:L28"/>
    <mergeCell ref="A28:A29"/>
    <mergeCell ref="B30:B31"/>
    <mergeCell ref="C30:D30"/>
    <mergeCell ref="E30:F30"/>
    <mergeCell ref="G30:H30"/>
    <mergeCell ref="I30:J30"/>
    <mergeCell ref="K30:L30"/>
    <mergeCell ref="A30:A31"/>
    <mergeCell ref="B32:B33"/>
    <mergeCell ref="C32:D32"/>
    <mergeCell ref="E32:F32"/>
    <mergeCell ref="G32:H32"/>
    <mergeCell ref="I32:J32"/>
    <mergeCell ref="K32:L32"/>
    <mergeCell ref="A32:A33"/>
    <mergeCell ref="B34:B35"/>
    <mergeCell ref="C34:D34"/>
    <mergeCell ref="E34:F34"/>
    <mergeCell ref="G34:H34"/>
    <mergeCell ref="I34:J34"/>
    <mergeCell ref="K34:L34"/>
    <mergeCell ref="A34:A35"/>
    <mergeCell ref="B36:B37"/>
    <mergeCell ref="C36:D36"/>
    <mergeCell ref="E36:F36"/>
    <mergeCell ref="G36:H36"/>
    <mergeCell ref="I36:J36"/>
    <mergeCell ref="K36:L36"/>
    <mergeCell ref="A36:A37"/>
    <mergeCell ref="B38:B39"/>
    <mergeCell ref="C38:D38"/>
    <mergeCell ref="E38:F38"/>
    <mergeCell ref="G38:H38"/>
    <mergeCell ref="I38:J38"/>
    <mergeCell ref="K38:L38"/>
    <mergeCell ref="A38:A39"/>
    <mergeCell ref="B40:B41"/>
    <mergeCell ref="C40:D40"/>
    <mergeCell ref="E40:F40"/>
    <mergeCell ref="G40:H40"/>
    <mergeCell ref="I40:J40"/>
    <mergeCell ref="K40:L40"/>
    <mergeCell ref="A40:A41"/>
    <mergeCell ref="B42:B43"/>
    <mergeCell ref="C42:D42"/>
    <mergeCell ref="E42:F42"/>
    <mergeCell ref="G42:H42"/>
    <mergeCell ref="I42:J42"/>
    <mergeCell ref="K42:L42"/>
    <mergeCell ref="A42:A43"/>
    <mergeCell ref="B44:B45"/>
    <mergeCell ref="C44:D44"/>
    <mergeCell ref="E44:F44"/>
    <mergeCell ref="G44:H44"/>
    <mergeCell ref="I44:J44"/>
    <mergeCell ref="K44:L44"/>
    <mergeCell ref="A44:A45"/>
    <mergeCell ref="B46:B47"/>
    <mergeCell ref="C46:D46"/>
    <mergeCell ref="E46:F46"/>
    <mergeCell ref="G46:H46"/>
    <mergeCell ref="I46:J46"/>
    <mergeCell ref="K46:L46"/>
    <mergeCell ref="A46:A47"/>
    <mergeCell ref="B48:B49"/>
    <mergeCell ref="C48:D48"/>
    <mergeCell ref="E48:F48"/>
    <mergeCell ref="G48:H48"/>
    <mergeCell ref="I48:J48"/>
    <mergeCell ref="K48:L48"/>
    <mergeCell ref="A48:A49"/>
    <mergeCell ref="B50:B51"/>
    <mergeCell ref="C50:D50"/>
    <mergeCell ref="E50:F50"/>
    <mergeCell ref="G50:H50"/>
    <mergeCell ref="I50:J50"/>
    <mergeCell ref="K50:L50"/>
    <mergeCell ref="A50:A51"/>
    <mergeCell ref="B52:B53"/>
    <mergeCell ref="C52:D52"/>
    <mergeCell ref="E52:F52"/>
    <mergeCell ref="G52:H52"/>
    <mergeCell ref="I52:J52"/>
    <mergeCell ref="K52:L52"/>
    <mergeCell ref="A52:A53"/>
    <mergeCell ref="B54:B55"/>
    <mergeCell ref="C54:D54"/>
    <mergeCell ref="E54:F54"/>
    <mergeCell ref="G54:H54"/>
    <mergeCell ref="I54:J54"/>
    <mergeCell ref="K54:L54"/>
    <mergeCell ref="A54:A55"/>
    <mergeCell ref="B56:B57"/>
    <mergeCell ref="C56:D56"/>
    <mergeCell ref="E56:F56"/>
    <mergeCell ref="G56:H56"/>
    <mergeCell ref="I56:J56"/>
    <mergeCell ref="K56:L56"/>
    <mergeCell ref="A56:A57"/>
    <mergeCell ref="B58:B59"/>
    <mergeCell ref="C58:D58"/>
    <mergeCell ref="E58:F58"/>
    <mergeCell ref="G58:H58"/>
    <mergeCell ref="I58:J58"/>
    <mergeCell ref="K58:L58"/>
    <mergeCell ref="A58:A59"/>
    <mergeCell ref="B60:B61"/>
    <mergeCell ref="C60:D60"/>
    <mergeCell ref="E60:F60"/>
    <mergeCell ref="G60:H60"/>
    <mergeCell ref="I60:J60"/>
    <mergeCell ref="K60:L60"/>
    <mergeCell ref="A60:A61"/>
    <mergeCell ref="B62:B63"/>
    <mergeCell ref="C62:D62"/>
    <mergeCell ref="E62:F62"/>
    <mergeCell ref="G62:H62"/>
    <mergeCell ref="I62:J62"/>
    <mergeCell ref="K62:L62"/>
    <mergeCell ref="A62:A63"/>
    <mergeCell ref="B64:B65"/>
    <mergeCell ref="C64:D64"/>
    <mergeCell ref="E64:F64"/>
    <mergeCell ref="G64:H64"/>
    <mergeCell ref="I64:J64"/>
    <mergeCell ref="K64:L64"/>
    <mergeCell ref="A64:A65"/>
    <mergeCell ref="B66:B67"/>
    <mergeCell ref="C66:D66"/>
    <mergeCell ref="E66:F66"/>
    <mergeCell ref="G66:H66"/>
    <mergeCell ref="I66:J66"/>
    <mergeCell ref="K66:L66"/>
    <mergeCell ref="A66:A67"/>
    <mergeCell ref="B68:B69"/>
    <mergeCell ref="C68:D68"/>
    <mergeCell ref="E68:F68"/>
    <mergeCell ref="G68:H68"/>
    <mergeCell ref="I68:J68"/>
    <mergeCell ref="K68:L68"/>
    <mergeCell ref="A68:A69"/>
    <mergeCell ref="B70:B71"/>
    <mergeCell ref="C70:D70"/>
    <mergeCell ref="E70:F70"/>
    <mergeCell ref="G70:H70"/>
    <mergeCell ref="I70:J70"/>
    <mergeCell ref="K70:L70"/>
    <mergeCell ref="A70:A71"/>
    <mergeCell ref="B72:B73"/>
    <mergeCell ref="C72:D72"/>
    <mergeCell ref="E72:F72"/>
    <mergeCell ref="G72:H72"/>
    <mergeCell ref="I72:J72"/>
    <mergeCell ref="K72:L72"/>
    <mergeCell ref="A72:A73"/>
    <mergeCell ref="B74:B75"/>
    <mergeCell ref="C74:D74"/>
    <mergeCell ref="E74:F74"/>
    <mergeCell ref="G74:H74"/>
    <mergeCell ref="I74:J74"/>
    <mergeCell ref="K74:L74"/>
    <mergeCell ref="A74:A75"/>
    <mergeCell ref="B76:B77"/>
    <mergeCell ref="C76:D76"/>
    <mergeCell ref="E76:F76"/>
    <mergeCell ref="G76:H76"/>
    <mergeCell ref="I76:J76"/>
    <mergeCell ref="K76:L76"/>
    <mergeCell ref="A76:A77"/>
    <mergeCell ref="B78:B79"/>
    <mergeCell ref="C78:D78"/>
    <mergeCell ref="E78:F78"/>
    <mergeCell ref="G78:H78"/>
    <mergeCell ref="I78:J78"/>
    <mergeCell ref="K78:L78"/>
    <mergeCell ref="A78:A79"/>
    <mergeCell ref="B80:B81"/>
    <mergeCell ref="C80:D80"/>
    <mergeCell ref="E80:F80"/>
    <mergeCell ref="G80:H80"/>
    <mergeCell ref="I80:J80"/>
    <mergeCell ref="K80:L80"/>
    <mergeCell ref="A80:A81"/>
    <mergeCell ref="B82:B83"/>
    <mergeCell ref="C82:D82"/>
    <mergeCell ref="E82:F82"/>
    <mergeCell ref="G82:H82"/>
    <mergeCell ref="I82:J82"/>
    <mergeCell ref="K82:L82"/>
    <mergeCell ref="A82:A83"/>
    <mergeCell ref="B84:B85"/>
    <mergeCell ref="C84:D84"/>
    <mergeCell ref="E84:F84"/>
    <mergeCell ref="G84:H84"/>
    <mergeCell ref="I84:J84"/>
    <mergeCell ref="K84:L84"/>
    <mergeCell ref="A84:A85"/>
    <mergeCell ref="B86:B87"/>
    <mergeCell ref="C86:D86"/>
    <mergeCell ref="E86:F86"/>
    <mergeCell ref="G86:H86"/>
    <mergeCell ref="I86:J86"/>
    <mergeCell ref="K86:L86"/>
    <mergeCell ref="A86:A87"/>
    <mergeCell ref="B88:B89"/>
    <mergeCell ref="C88:D88"/>
    <mergeCell ref="E88:F88"/>
    <mergeCell ref="G88:H88"/>
    <mergeCell ref="I88:J88"/>
    <mergeCell ref="K88:L88"/>
    <mergeCell ref="A88:A89"/>
    <mergeCell ref="B90:B91"/>
    <mergeCell ref="C90:D90"/>
    <mergeCell ref="E90:F90"/>
    <mergeCell ref="G90:H90"/>
    <mergeCell ref="I90:J90"/>
    <mergeCell ref="K90:L90"/>
    <mergeCell ref="A90:A91"/>
    <mergeCell ref="B92:B93"/>
    <mergeCell ref="C92:D92"/>
    <mergeCell ref="E92:F92"/>
    <mergeCell ref="G92:H92"/>
    <mergeCell ref="I92:J92"/>
    <mergeCell ref="K92:L92"/>
    <mergeCell ref="A92:A93"/>
    <mergeCell ref="B94:B95"/>
    <mergeCell ref="C94:D94"/>
    <mergeCell ref="E94:F94"/>
    <mergeCell ref="G94:H94"/>
    <mergeCell ref="I94:J94"/>
    <mergeCell ref="K94:L94"/>
    <mergeCell ref="A94:A95"/>
    <mergeCell ref="B96:B97"/>
    <mergeCell ref="C96:D96"/>
    <mergeCell ref="E96:F96"/>
    <mergeCell ref="G96:H96"/>
    <mergeCell ref="I96:J96"/>
    <mergeCell ref="K96:L96"/>
    <mergeCell ref="A96:A97"/>
    <mergeCell ref="B98:B99"/>
    <mergeCell ref="C98:D98"/>
    <mergeCell ref="E98:F98"/>
    <mergeCell ref="G98:H98"/>
    <mergeCell ref="I98:J98"/>
    <mergeCell ref="K98:L98"/>
    <mergeCell ref="A98:A99"/>
    <mergeCell ref="B100:B101"/>
    <mergeCell ref="C100:D100"/>
    <mergeCell ref="E100:F100"/>
    <mergeCell ref="G100:H100"/>
    <mergeCell ref="I100:J100"/>
    <mergeCell ref="K100:L100"/>
    <mergeCell ref="A100:A101"/>
    <mergeCell ref="B102:B103"/>
    <mergeCell ref="C102:D102"/>
    <mergeCell ref="E102:F102"/>
    <mergeCell ref="G102:H102"/>
    <mergeCell ref="I102:J102"/>
    <mergeCell ref="K102:L102"/>
    <mergeCell ref="A102:A103"/>
    <mergeCell ref="B104:B105"/>
    <mergeCell ref="C104:D104"/>
    <mergeCell ref="E104:F104"/>
    <mergeCell ref="G104:H104"/>
    <mergeCell ref="I104:J104"/>
    <mergeCell ref="K104:L104"/>
    <mergeCell ref="A104:A105"/>
    <mergeCell ref="B106:B107"/>
    <mergeCell ref="C106:D106"/>
    <mergeCell ref="E106:F106"/>
    <mergeCell ref="G106:H106"/>
    <mergeCell ref="I106:J106"/>
    <mergeCell ref="K106:L106"/>
    <mergeCell ref="A106:A107"/>
    <mergeCell ref="B108:B109"/>
    <mergeCell ref="C108:D108"/>
    <mergeCell ref="E108:F108"/>
    <mergeCell ref="G108:H108"/>
    <mergeCell ref="I108:J108"/>
    <mergeCell ref="K108:L108"/>
    <mergeCell ref="A108:A109"/>
    <mergeCell ref="B110:B111"/>
    <mergeCell ref="C110:D110"/>
    <mergeCell ref="E110:F110"/>
    <mergeCell ref="G110:H110"/>
    <mergeCell ref="I110:J110"/>
    <mergeCell ref="K110:L110"/>
    <mergeCell ref="A110:A111"/>
    <mergeCell ref="B112:B113"/>
    <mergeCell ref="C112:D112"/>
    <mergeCell ref="E112:F112"/>
    <mergeCell ref="G112:H112"/>
    <mergeCell ref="I112:J112"/>
    <mergeCell ref="K112:L112"/>
    <mergeCell ref="A112:A113"/>
    <mergeCell ref="B114:B115"/>
    <mergeCell ref="C114:D114"/>
    <mergeCell ref="E114:F114"/>
    <mergeCell ref="G114:H114"/>
    <mergeCell ref="I114:J114"/>
    <mergeCell ref="K114:L114"/>
    <mergeCell ref="A114:A115"/>
    <mergeCell ref="B116:B117"/>
    <mergeCell ref="C116:D116"/>
    <mergeCell ref="E116:F116"/>
    <mergeCell ref="G116:H116"/>
    <mergeCell ref="I116:J116"/>
    <mergeCell ref="K116:L116"/>
    <mergeCell ref="A116:A117"/>
    <mergeCell ref="B118:B119"/>
    <mergeCell ref="C118:D118"/>
    <mergeCell ref="E118:F118"/>
    <mergeCell ref="G118:H118"/>
    <mergeCell ref="I118:J118"/>
    <mergeCell ref="K118:L118"/>
    <mergeCell ref="A118:A119"/>
    <mergeCell ref="B120:B121"/>
    <mergeCell ref="C120:D120"/>
    <mergeCell ref="E120:F120"/>
    <mergeCell ref="G120:H120"/>
    <mergeCell ref="I120:J120"/>
    <mergeCell ref="K120:L120"/>
    <mergeCell ref="A120:A121"/>
    <mergeCell ref="B122:B123"/>
    <mergeCell ref="C122:D122"/>
    <mergeCell ref="E122:F122"/>
    <mergeCell ref="G122:H122"/>
    <mergeCell ref="I122:J122"/>
    <mergeCell ref="K122:L122"/>
    <mergeCell ref="A122:A123"/>
    <mergeCell ref="B124:B125"/>
    <mergeCell ref="C124:D124"/>
    <mergeCell ref="E124:F124"/>
    <mergeCell ref="G124:H124"/>
    <mergeCell ref="I124:J124"/>
    <mergeCell ref="K124:L124"/>
    <mergeCell ref="A124:A125"/>
    <mergeCell ref="B126:B127"/>
    <mergeCell ref="C126:D126"/>
    <mergeCell ref="E126:F126"/>
    <mergeCell ref="G126:H126"/>
    <mergeCell ref="I126:J126"/>
    <mergeCell ref="K126:L126"/>
    <mergeCell ref="A126:A127"/>
    <mergeCell ref="B128:B129"/>
    <mergeCell ref="C128:D128"/>
    <mergeCell ref="E128:F128"/>
    <mergeCell ref="G128:H128"/>
    <mergeCell ref="I128:J128"/>
    <mergeCell ref="K128:L128"/>
    <mergeCell ref="A128:A129"/>
    <mergeCell ref="B130:B131"/>
    <mergeCell ref="C130:D130"/>
    <mergeCell ref="E130:F130"/>
    <mergeCell ref="G130:H130"/>
    <mergeCell ref="I130:J130"/>
    <mergeCell ref="K130:L130"/>
    <mergeCell ref="A130:A131"/>
    <mergeCell ref="B132:B133"/>
    <mergeCell ref="C132:D132"/>
    <mergeCell ref="E132:F132"/>
    <mergeCell ref="G132:H132"/>
    <mergeCell ref="I132:J132"/>
    <mergeCell ref="K132:L132"/>
    <mergeCell ref="A132:A133"/>
    <mergeCell ref="B134:B135"/>
    <mergeCell ref="C134:D134"/>
    <mergeCell ref="E134:F134"/>
    <mergeCell ref="G134:H134"/>
    <mergeCell ref="I134:J134"/>
    <mergeCell ref="K134:L134"/>
    <mergeCell ref="A134:A135"/>
    <mergeCell ref="B136:B137"/>
    <mergeCell ref="C136:D136"/>
    <mergeCell ref="E136:F136"/>
    <mergeCell ref="G136:H136"/>
    <mergeCell ref="I136:J136"/>
    <mergeCell ref="K136:L136"/>
    <mergeCell ref="A136:A137"/>
    <mergeCell ref="B138:B139"/>
    <mergeCell ref="C138:D138"/>
    <mergeCell ref="E138:F138"/>
    <mergeCell ref="G138:H138"/>
    <mergeCell ref="I138:J138"/>
    <mergeCell ref="K138:L138"/>
    <mergeCell ref="A138:A139"/>
    <mergeCell ref="B140:B141"/>
    <mergeCell ref="C140:D140"/>
    <mergeCell ref="E140:F140"/>
    <mergeCell ref="G140:H140"/>
    <mergeCell ref="I140:J140"/>
    <mergeCell ref="K140:L140"/>
    <mergeCell ref="A140:A141"/>
    <mergeCell ref="B142:B143"/>
    <mergeCell ref="C142:D142"/>
    <mergeCell ref="E142:F142"/>
    <mergeCell ref="G142:H142"/>
    <mergeCell ref="I142:J142"/>
    <mergeCell ref="K142:L142"/>
    <mergeCell ref="A142:A143"/>
    <mergeCell ref="B144:B145"/>
    <mergeCell ref="C144:D144"/>
    <mergeCell ref="E144:F144"/>
    <mergeCell ref="G144:H144"/>
    <mergeCell ref="I144:J144"/>
    <mergeCell ref="K144:L144"/>
    <mergeCell ref="A144:A145"/>
    <mergeCell ref="B146:B147"/>
    <mergeCell ref="C146:D146"/>
    <mergeCell ref="E146:F146"/>
    <mergeCell ref="G146:H146"/>
    <mergeCell ref="I146:J146"/>
    <mergeCell ref="K146:L146"/>
    <mergeCell ref="A146:A147"/>
    <mergeCell ref="B148:B149"/>
    <mergeCell ref="C148:D148"/>
    <mergeCell ref="E148:F148"/>
    <mergeCell ref="G148:H148"/>
    <mergeCell ref="I148:J148"/>
    <mergeCell ref="K148:L148"/>
    <mergeCell ref="A148:A149"/>
    <mergeCell ref="B150:B151"/>
    <mergeCell ref="C150:D150"/>
    <mergeCell ref="E150:F150"/>
    <mergeCell ref="G150:H150"/>
    <mergeCell ref="I150:J150"/>
    <mergeCell ref="K150:L150"/>
    <mergeCell ref="A150:A151"/>
    <mergeCell ref="B152:B153"/>
    <mergeCell ref="C152:D152"/>
    <mergeCell ref="E152:F152"/>
    <mergeCell ref="G152:H152"/>
    <mergeCell ref="I152:J152"/>
    <mergeCell ref="K152:L152"/>
    <mergeCell ref="A152:A153"/>
    <mergeCell ref="B154:B155"/>
    <mergeCell ref="C154:D154"/>
    <mergeCell ref="E154:F154"/>
    <mergeCell ref="G154:H154"/>
    <mergeCell ref="I154:J154"/>
    <mergeCell ref="K154:L154"/>
    <mergeCell ref="A154:A155"/>
    <mergeCell ref="B156:B157"/>
    <mergeCell ref="C156:D156"/>
    <mergeCell ref="E156:F156"/>
    <mergeCell ref="G156:H156"/>
    <mergeCell ref="I156:J156"/>
    <mergeCell ref="K156:L156"/>
    <mergeCell ref="A156:A157"/>
    <mergeCell ref="B158:B159"/>
    <mergeCell ref="C158:D158"/>
    <mergeCell ref="E158:F158"/>
    <mergeCell ref="G158:H158"/>
    <mergeCell ref="I158:J158"/>
    <mergeCell ref="K158:L158"/>
    <mergeCell ref="A158:A159"/>
    <mergeCell ref="B160:B161"/>
    <mergeCell ref="C160:D160"/>
    <mergeCell ref="E160:F160"/>
    <mergeCell ref="G160:H160"/>
    <mergeCell ref="I160:J160"/>
    <mergeCell ref="K160:L160"/>
    <mergeCell ref="A160:A161"/>
    <mergeCell ref="B162:B163"/>
    <mergeCell ref="C162:D162"/>
    <mergeCell ref="E162:F162"/>
    <mergeCell ref="G162:H162"/>
    <mergeCell ref="I162:J162"/>
    <mergeCell ref="K162:L162"/>
    <mergeCell ref="A162:A163"/>
    <mergeCell ref="B164:B165"/>
    <mergeCell ref="C164:D164"/>
    <mergeCell ref="E164:F164"/>
    <mergeCell ref="G164:H164"/>
    <mergeCell ref="I164:J164"/>
    <mergeCell ref="K164:L164"/>
    <mergeCell ref="A164:A165"/>
    <mergeCell ref="B166:B167"/>
    <mergeCell ref="C166:D166"/>
    <mergeCell ref="E166:F166"/>
    <mergeCell ref="G166:H166"/>
    <mergeCell ref="I166:J166"/>
    <mergeCell ref="K166:L166"/>
    <mergeCell ref="A166:A167"/>
    <mergeCell ref="B168:B169"/>
    <mergeCell ref="C168:D168"/>
    <mergeCell ref="E168:F168"/>
    <mergeCell ref="G168:H168"/>
    <mergeCell ref="I168:J168"/>
    <mergeCell ref="K168:L168"/>
    <mergeCell ref="A168:A169"/>
    <mergeCell ref="B170:B171"/>
    <mergeCell ref="C170:D170"/>
    <mergeCell ref="E170:F170"/>
    <mergeCell ref="G170:H170"/>
    <mergeCell ref="I170:J170"/>
    <mergeCell ref="K170:L170"/>
    <mergeCell ref="A170:A171"/>
    <mergeCell ref="B172:B173"/>
    <mergeCell ref="C172:D172"/>
    <mergeCell ref="E172:F172"/>
    <mergeCell ref="G172:H172"/>
    <mergeCell ref="I172:J172"/>
    <mergeCell ref="K172:L172"/>
    <mergeCell ref="A172:A173"/>
    <mergeCell ref="B174:B175"/>
    <mergeCell ref="C174:D174"/>
    <mergeCell ref="E174:F174"/>
    <mergeCell ref="G174:H174"/>
    <mergeCell ref="I174:J174"/>
    <mergeCell ref="K174:L174"/>
    <mergeCell ref="A174:A175"/>
    <mergeCell ref="B176:B177"/>
    <mergeCell ref="C176:D176"/>
    <mergeCell ref="E176:F176"/>
    <mergeCell ref="G176:H176"/>
    <mergeCell ref="I176:J176"/>
    <mergeCell ref="K176:L176"/>
    <mergeCell ref="A176:A177"/>
    <mergeCell ref="B178:B179"/>
    <mergeCell ref="C178:D178"/>
    <mergeCell ref="E178:F178"/>
    <mergeCell ref="G178:H178"/>
    <mergeCell ref="I178:J178"/>
    <mergeCell ref="K178:L178"/>
    <mergeCell ref="A178:A179"/>
    <mergeCell ref="B180:B181"/>
    <mergeCell ref="C180:D180"/>
    <mergeCell ref="E180:F180"/>
    <mergeCell ref="G180:H180"/>
    <mergeCell ref="I180:J180"/>
    <mergeCell ref="K180:L180"/>
    <mergeCell ref="A180:A181"/>
    <mergeCell ref="B182:B183"/>
    <mergeCell ref="C182:D182"/>
    <mergeCell ref="E182:F182"/>
    <mergeCell ref="G182:H182"/>
    <mergeCell ref="I182:J182"/>
    <mergeCell ref="K182:L182"/>
    <mergeCell ref="A182:A183"/>
    <mergeCell ref="B184:B185"/>
    <mergeCell ref="C184:D184"/>
    <mergeCell ref="E184:F184"/>
    <mergeCell ref="G184:H184"/>
    <mergeCell ref="I184:J184"/>
    <mergeCell ref="K184:L184"/>
    <mergeCell ref="A184:A185"/>
    <mergeCell ref="B186:B187"/>
    <mergeCell ref="C186:D186"/>
    <mergeCell ref="E186:F186"/>
    <mergeCell ref="G186:H186"/>
    <mergeCell ref="I186:J186"/>
    <mergeCell ref="K186:L186"/>
    <mergeCell ref="A186:A187"/>
    <mergeCell ref="B188:B189"/>
    <mergeCell ref="C188:D188"/>
    <mergeCell ref="E188:F188"/>
    <mergeCell ref="G188:H188"/>
    <mergeCell ref="I188:J188"/>
    <mergeCell ref="K188:L188"/>
    <mergeCell ref="A188:A189"/>
    <mergeCell ref="B190:B191"/>
    <mergeCell ref="C190:D190"/>
    <mergeCell ref="E190:F190"/>
    <mergeCell ref="G190:H190"/>
    <mergeCell ref="I190:J190"/>
    <mergeCell ref="K190:L190"/>
    <mergeCell ref="A190:A191"/>
    <mergeCell ref="B192:B193"/>
    <mergeCell ref="C192:D192"/>
    <mergeCell ref="E192:F192"/>
    <mergeCell ref="G192:H192"/>
    <mergeCell ref="I192:J192"/>
    <mergeCell ref="K192:L192"/>
    <mergeCell ref="A192:A193"/>
    <mergeCell ref="B194:B195"/>
    <mergeCell ref="C194:D194"/>
    <mergeCell ref="E194:F194"/>
    <mergeCell ref="G194:H194"/>
    <mergeCell ref="I194:J194"/>
    <mergeCell ref="K194:L194"/>
    <mergeCell ref="A194:A195"/>
    <mergeCell ref="B196:B197"/>
    <mergeCell ref="C196:D196"/>
    <mergeCell ref="E196:F196"/>
    <mergeCell ref="G196:H196"/>
    <mergeCell ref="I196:J196"/>
    <mergeCell ref="K196:L196"/>
    <mergeCell ref="A196:A197"/>
    <mergeCell ref="B198:B199"/>
    <mergeCell ref="C198:D198"/>
    <mergeCell ref="E198:F198"/>
    <mergeCell ref="G198:H198"/>
    <mergeCell ref="I198:J198"/>
    <mergeCell ref="K198:L198"/>
    <mergeCell ref="A198:A199"/>
    <mergeCell ref="B200:B201"/>
    <mergeCell ref="C200:D200"/>
    <mergeCell ref="E200:F200"/>
    <mergeCell ref="G200:H200"/>
    <mergeCell ref="I200:J200"/>
    <mergeCell ref="K200:L200"/>
    <mergeCell ref="A200:A201"/>
    <mergeCell ref="B202:B203"/>
    <mergeCell ref="C202:D202"/>
    <mergeCell ref="E202:F202"/>
    <mergeCell ref="G202:H202"/>
    <mergeCell ref="I202:J202"/>
    <mergeCell ref="K202:L202"/>
    <mergeCell ref="A202:A203"/>
    <mergeCell ref="B204:B205"/>
    <mergeCell ref="C204:D204"/>
    <mergeCell ref="E204:F204"/>
    <mergeCell ref="G204:H204"/>
    <mergeCell ref="I204:J204"/>
    <mergeCell ref="K204:L204"/>
    <mergeCell ref="A204:A205"/>
    <mergeCell ref="B206:B207"/>
    <mergeCell ref="C206:D206"/>
    <mergeCell ref="E206:F206"/>
    <mergeCell ref="G206:H206"/>
    <mergeCell ref="I206:J206"/>
    <mergeCell ref="K206:L206"/>
    <mergeCell ref="A206:A207"/>
    <mergeCell ref="B208:B209"/>
    <mergeCell ref="C208:D208"/>
    <mergeCell ref="E208:F208"/>
    <mergeCell ref="G208:H208"/>
    <mergeCell ref="I208:J208"/>
    <mergeCell ref="K208:L208"/>
    <mergeCell ref="A404:A405"/>
    <mergeCell ref="B406:B407"/>
    <mergeCell ref="C406:D406"/>
    <mergeCell ref="E406:F406"/>
    <mergeCell ref="G406:H406"/>
    <mergeCell ref="I406:J406"/>
    <mergeCell ref="K406:L406"/>
    <mergeCell ref="A406:A407"/>
    <mergeCell ref="B408:B409"/>
    <mergeCell ref="C408:D408"/>
    <mergeCell ref="E408:F408"/>
    <mergeCell ref="G408:H408"/>
    <mergeCell ref="I408:J408"/>
    <mergeCell ref="K408:L408"/>
    <mergeCell ref="A408:A409"/>
    <mergeCell ref="B410:B411"/>
    <mergeCell ref="C410:D410"/>
    <mergeCell ref="E410:F410"/>
    <mergeCell ref="G410:H410"/>
    <mergeCell ref="I410:J410"/>
    <mergeCell ref="K410:L410"/>
    <mergeCell ref="A410:A411"/>
    <mergeCell ref="B412:B413"/>
    <mergeCell ref="C412:D412"/>
    <mergeCell ref="E412:F412"/>
    <mergeCell ref="G412:H412"/>
    <mergeCell ref="I412:J412"/>
    <mergeCell ref="K412:L412"/>
    <mergeCell ref="A412:A413"/>
    <mergeCell ref="B414:B415"/>
    <mergeCell ref="C414:D414"/>
    <mergeCell ref="E414:F414"/>
    <mergeCell ref="G414:H414"/>
    <mergeCell ref="I414:J414"/>
    <mergeCell ref="K414:L414"/>
    <mergeCell ref="A414:A415"/>
    <mergeCell ref="B416:B417"/>
    <mergeCell ref="C416:D416"/>
    <mergeCell ref="E416:F416"/>
    <mergeCell ref="G416:H416"/>
    <mergeCell ref="I416:J416"/>
    <mergeCell ref="K416:L416"/>
    <mergeCell ref="A416:A417"/>
    <mergeCell ref="B418:B419"/>
    <mergeCell ref="C418:D418"/>
    <mergeCell ref="E418:F418"/>
    <mergeCell ref="G418:H418"/>
    <mergeCell ref="I418:J418"/>
    <mergeCell ref="K418:L418"/>
    <mergeCell ref="A418:A419"/>
    <mergeCell ref="B420:B421"/>
    <mergeCell ref="C420:D420"/>
    <mergeCell ref="E420:F420"/>
    <mergeCell ref="G420:H420"/>
    <mergeCell ref="I420:J420"/>
    <mergeCell ref="K420:L420"/>
    <mergeCell ref="A420:A421"/>
    <mergeCell ref="B422:B423"/>
    <mergeCell ref="C422:D422"/>
    <mergeCell ref="E422:F422"/>
    <mergeCell ref="G422:H422"/>
    <mergeCell ref="I422:J422"/>
    <mergeCell ref="K422:L422"/>
    <mergeCell ref="A422:A423"/>
    <mergeCell ref="B424:B425"/>
    <mergeCell ref="C424:D424"/>
    <mergeCell ref="E424:F424"/>
    <mergeCell ref="G424:H424"/>
    <mergeCell ref="I424:J424"/>
    <mergeCell ref="K424:L424"/>
    <mergeCell ref="A424:A425"/>
    <mergeCell ref="B426:B427"/>
    <mergeCell ref="C426:D426"/>
    <mergeCell ref="E426:F426"/>
    <mergeCell ref="G426:H426"/>
    <mergeCell ref="I426:J426"/>
    <mergeCell ref="K426:L426"/>
    <mergeCell ref="A426:A427"/>
    <mergeCell ref="B428:B429"/>
    <mergeCell ref="C428:D428"/>
    <mergeCell ref="E428:F428"/>
    <mergeCell ref="G428:H428"/>
    <mergeCell ref="I428:J428"/>
    <mergeCell ref="K428:L428"/>
    <mergeCell ref="A428:A429"/>
    <mergeCell ref="B430:B431"/>
    <mergeCell ref="C430:D430"/>
    <mergeCell ref="E430:F430"/>
    <mergeCell ref="G430:H430"/>
    <mergeCell ref="I430:J430"/>
    <mergeCell ref="K430:L430"/>
    <mergeCell ref="A430:A431"/>
    <mergeCell ref="B432:B433"/>
    <mergeCell ref="C432:D432"/>
    <mergeCell ref="E432:F432"/>
    <mergeCell ref="G432:H432"/>
    <mergeCell ref="I432:J432"/>
    <mergeCell ref="K432:L432"/>
    <mergeCell ref="A432:A433"/>
    <mergeCell ref="B434:B435"/>
    <mergeCell ref="C434:D434"/>
    <mergeCell ref="E434:F434"/>
    <mergeCell ref="G434:H434"/>
    <mergeCell ref="I434:J434"/>
    <mergeCell ref="K434:L434"/>
    <mergeCell ref="A434:A435"/>
    <mergeCell ref="B436:B437"/>
    <mergeCell ref="C436:D436"/>
    <mergeCell ref="E436:F436"/>
    <mergeCell ref="G436:H436"/>
    <mergeCell ref="I436:J436"/>
    <mergeCell ref="K436:L436"/>
    <mergeCell ref="A436:A437"/>
    <mergeCell ref="B438:B439"/>
    <mergeCell ref="C438:D438"/>
    <mergeCell ref="E438:F438"/>
    <mergeCell ref="G438:H438"/>
    <mergeCell ref="I438:J438"/>
    <mergeCell ref="K438:L438"/>
    <mergeCell ref="A438:A439"/>
    <mergeCell ref="B440:B441"/>
    <mergeCell ref="C440:D440"/>
    <mergeCell ref="E440:F440"/>
    <mergeCell ref="G440:H440"/>
    <mergeCell ref="I440:J440"/>
    <mergeCell ref="K440:L440"/>
    <mergeCell ref="A440:A441"/>
    <mergeCell ref="B442:B443"/>
    <mergeCell ref="C442:D442"/>
    <mergeCell ref="E442:F442"/>
    <mergeCell ref="G442:H442"/>
    <mergeCell ref="I442:J442"/>
    <mergeCell ref="K442:L442"/>
    <mergeCell ref="A442:A443"/>
    <mergeCell ref="B444:B445"/>
    <mergeCell ref="C444:D444"/>
    <mergeCell ref="E444:F444"/>
    <mergeCell ref="G444:H444"/>
    <mergeCell ref="I444:J444"/>
    <mergeCell ref="K444:L444"/>
    <mergeCell ref="A444:A445"/>
    <mergeCell ref="B446:B447"/>
    <mergeCell ref="C446:D446"/>
    <mergeCell ref="E446:F446"/>
    <mergeCell ref="G446:H446"/>
    <mergeCell ref="I446:J446"/>
    <mergeCell ref="K446:L446"/>
    <mergeCell ref="A446:A447"/>
    <mergeCell ref="B448:B449"/>
    <mergeCell ref="C448:D448"/>
    <mergeCell ref="E448:F448"/>
    <mergeCell ref="G448:H448"/>
    <mergeCell ref="I448:J448"/>
    <mergeCell ref="K448:L448"/>
    <mergeCell ref="A448:A449"/>
    <mergeCell ref="B450:B451"/>
    <mergeCell ref="C450:D450"/>
    <mergeCell ref="E450:F450"/>
    <mergeCell ref="G450:H450"/>
    <mergeCell ref="I450:J450"/>
    <mergeCell ref="K450:L450"/>
    <mergeCell ref="A450:A451"/>
    <mergeCell ref="B452:B453"/>
    <mergeCell ref="C452:D452"/>
    <mergeCell ref="E452:F452"/>
    <mergeCell ref="G452:H452"/>
    <mergeCell ref="I452:J452"/>
    <mergeCell ref="K452:L452"/>
    <mergeCell ref="A452:A453"/>
    <mergeCell ref="B454:B455"/>
    <mergeCell ref="C454:D454"/>
    <mergeCell ref="E454:F454"/>
    <mergeCell ref="G454:H454"/>
    <mergeCell ref="I454:J454"/>
    <mergeCell ref="K454:L454"/>
    <mergeCell ref="A454:A455"/>
    <mergeCell ref="B456:B457"/>
    <mergeCell ref="C456:D456"/>
    <mergeCell ref="E456:F456"/>
    <mergeCell ref="G456:H456"/>
    <mergeCell ref="I456:J456"/>
    <mergeCell ref="K456:L456"/>
    <mergeCell ref="A456:A457"/>
    <mergeCell ref="B458:B459"/>
    <mergeCell ref="C458:D458"/>
    <mergeCell ref="E458:F458"/>
    <mergeCell ref="G458:H458"/>
    <mergeCell ref="I458:J458"/>
    <mergeCell ref="K458:L458"/>
    <mergeCell ref="A458:A459"/>
    <mergeCell ref="B460:B461"/>
    <mergeCell ref="C460:D460"/>
    <mergeCell ref="E460:F460"/>
    <mergeCell ref="G460:H460"/>
    <mergeCell ref="I460:J460"/>
    <mergeCell ref="K460:L460"/>
    <mergeCell ref="A460:A461"/>
    <mergeCell ref="B462:B463"/>
    <mergeCell ref="C462:D462"/>
    <mergeCell ref="E462:F462"/>
    <mergeCell ref="G462:H462"/>
    <mergeCell ref="I462:J462"/>
    <mergeCell ref="K462:L462"/>
    <mergeCell ref="A462:A463"/>
    <mergeCell ref="B464:B465"/>
    <mergeCell ref="C464:D464"/>
    <mergeCell ref="E464:F464"/>
    <mergeCell ref="G464:H464"/>
    <mergeCell ref="I464:J464"/>
    <mergeCell ref="K464:L464"/>
    <mergeCell ref="A464:A465"/>
    <mergeCell ref="B466:B467"/>
    <mergeCell ref="C466:D466"/>
    <mergeCell ref="E466:F466"/>
    <mergeCell ref="G466:H466"/>
    <mergeCell ref="I466:J466"/>
    <mergeCell ref="K466:L466"/>
    <mergeCell ref="A466:A467"/>
    <mergeCell ref="B468:B469"/>
    <mergeCell ref="C468:D468"/>
    <mergeCell ref="E468:F468"/>
    <mergeCell ref="G468:H468"/>
    <mergeCell ref="I468:J468"/>
    <mergeCell ref="K468:L468"/>
    <mergeCell ref="A468:A469"/>
    <mergeCell ref="B470:B471"/>
    <mergeCell ref="C470:D470"/>
    <mergeCell ref="E470:F470"/>
    <mergeCell ref="G470:H470"/>
    <mergeCell ref="I470:J470"/>
    <mergeCell ref="K470:L470"/>
    <mergeCell ref="A470:A471"/>
    <mergeCell ref="B472:B473"/>
    <mergeCell ref="C472:D472"/>
    <mergeCell ref="E472:F472"/>
    <mergeCell ref="G472:H472"/>
    <mergeCell ref="I472:J472"/>
    <mergeCell ref="K472:L472"/>
    <mergeCell ref="A472:A473"/>
    <mergeCell ref="B474:B475"/>
    <mergeCell ref="C474:D474"/>
    <mergeCell ref="E474:F474"/>
    <mergeCell ref="G474:H474"/>
    <mergeCell ref="I474:J474"/>
    <mergeCell ref="K474:L474"/>
    <mergeCell ref="A474:A475"/>
    <mergeCell ref="B476:B477"/>
    <mergeCell ref="C476:D476"/>
    <mergeCell ref="E476:F476"/>
    <mergeCell ref="G476:H476"/>
    <mergeCell ref="I476:J476"/>
    <mergeCell ref="K476:L476"/>
    <mergeCell ref="A476:A477"/>
    <mergeCell ref="B478:B479"/>
    <mergeCell ref="C478:D478"/>
    <mergeCell ref="E478:F478"/>
    <mergeCell ref="G478:H478"/>
    <mergeCell ref="I478:J478"/>
    <mergeCell ref="K478:L478"/>
    <mergeCell ref="A478:A479"/>
    <mergeCell ref="B480:B481"/>
    <mergeCell ref="C480:D480"/>
    <mergeCell ref="E480:F480"/>
    <mergeCell ref="G480:H480"/>
    <mergeCell ref="I480:J480"/>
    <mergeCell ref="K480:L480"/>
    <mergeCell ref="A480:A481"/>
    <mergeCell ref="B482:B483"/>
    <mergeCell ref="C482:D482"/>
    <mergeCell ref="E482:F482"/>
    <mergeCell ref="G482:H482"/>
    <mergeCell ref="I482:J482"/>
    <mergeCell ref="K482:L482"/>
    <mergeCell ref="A482:A483"/>
    <mergeCell ref="B484:B485"/>
    <mergeCell ref="C484:D484"/>
    <mergeCell ref="E484:F484"/>
    <mergeCell ref="G484:H484"/>
    <mergeCell ref="I484:J484"/>
    <mergeCell ref="K484:L484"/>
    <mergeCell ref="A484:A485"/>
    <mergeCell ref="B486:B487"/>
    <mergeCell ref="C486:D486"/>
    <mergeCell ref="E486:F486"/>
    <mergeCell ref="G486:H486"/>
    <mergeCell ref="I486:J486"/>
    <mergeCell ref="K486:L486"/>
    <mergeCell ref="A486:A487"/>
    <mergeCell ref="B488:B489"/>
    <mergeCell ref="C488:D488"/>
    <mergeCell ref="E488:F488"/>
    <mergeCell ref="G488:H488"/>
    <mergeCell ref="I488:J488"/>
    <mergeCell ref="K488:L488"/>
    <mergeCell ref="A488:A489"/>
    <mergeCell ref="B490:B491"/>
    <mergeCell ref="C490:D490"/>
    <mergeCell ref="E490:F490"/>
    <mergeCell ref="G490:H490"/>
    <mergeCell ref="I490:J490"/>
    <mergeCell ref="K490:L490"/>
    <mergeCell ref="A490:A491"/>
    <mergeCell ref="B492:B493"/>
    <mergeCell ref="C492:D492"/>
    <mergeCell ref="E492:F492"/>
    <mergeCell ref="G492:H492"/>
    <mergeCell ref="I492:J492"/>
    <mergeCell ref="K492:L492"/>
    <mergeCell ref="A492:A493"/>
    <mergeCell ref="B494:B495"/>
    <mergeCell ref="C494:D494"/>
    <mergeCell ref="E494:F494"/>
    <mergeCell ref="G494:H494"/>
    <mergeCell ref="I494:J494"/>
    <mergeCell ref="K494:L494"/>
    <mergeCell ref="A494:A495"/>
    <mergeCell ref="B496:B497"/>
    <mergeCell ref="C496:D496"/>
    <mergeCell ref="E496:F496"/>
    <mergeCell ref="G496:H496"/>
    <mergeCell ref="I496:J496"/>
    <mergeCell ref="K496:L496"/>
    <mergeCell ref="A496:A497"/>
    <mergeCell ref="B498:B499"/>
    <mergeCell ref="C498:D498"/>
    <mergeCell ref="E498:F498"/>
    <mergeCell ref="G498:H498"/>
    <mergeCell ref="I498:J498"/>
    <mergeCell ref="K498:L498"/>
    <mergeCell ref="A498:A499"/>
    <mergeCell ref="B500:B501"/>
    <mergeCell ref="C500:D500"/>
    <mergeCell ref="E500:F500"/>
    <mergeCell ref="G500:H500"/>
    <mergeCell ref="I500:J500"/>
    <mergeCell ref="K500:L500"/>
    <mergeCell ref="A500:A501"/>
    <mergeCell ref="B502:B503"/>
    <mergeCell ref="C502:D502"/>
    <mergeCell ref="E502:F502"/>
    <mergeCell ref="G502:H502"/>
    <mergeCell ref="I502:J502"/>
    <mergeCell ref="K502:L502"/>
    <mergeCell ref="A502:A503"/>
    <mergeCell ref="B504:B505"/>
    <mergeCell ref="C504:D504"/>
    <mergeCell ref="E504:F504"/>
    <mergeCell ref="G504:H504"/>
    <mergeCell ref="I504:J504"/>
    <mergeCell ref="K504:L504"/>
    <mergeCell ref="A504:A505"/>
    <mergeCell ref="B506:B507"/>
    <mergeCell ref="C506:D506"/>
    <mergeCell ref="E506:F506"/>
    <mergeCell ref="G506:H506"/>
    <mergeCell ref="I506:J506"/>
    <mergeCell ref="K506:L506"/>
    <mergeCell ref="A506:A507"/>
    <mergeCell ref="B508:B509"/>
    <mergeCell ref="C508:D508"/>
    <mergeCell ref="E508:F508"/>
    <mergeCell ref="G508:H508"/>
    <mergeCell ref="I508:J508"/>
    <mergeCell ref="K508:L508"/>
    <mergeCell ref="A508:A509"/>
    <mergeCell ref="B510:B511"/>
    <mergeCell ref="C510:D510"/>
    <mergeCell ref="E510:F510"/>
    <mergeCell ref="G510:H510"/>
    <mergeCell ref="I510:J510"/>
    <mergeCell ref="K510:L510"/>
    <mergeCell ref="A510:A511"/>
    <mergeCell ref="B512:B513"/>
    <mergeCell ref="C512:D512"/>
    <mergeCell ref="E512:F512"/>
    <mergeCell ref="G512:H512"/>
    <mergeCell ref="I512:J512"/>
    <mergeCell ref="K512:L512"/>
    <mergeCell ref="A512:A513"/>
    <mergeCell ref="B514:B515"/>
    <mergeCell ref="C514:D514"/>
    <mergeCell ref="E514:F514"/>
    <mergeCell ref="G514:H514"/>
    <mergeCell ref="I514:J514"/>
    <mergeCell ref="K514:L514"/>
    <mergeCell ref="A514:A515"/>
    <mergeCell ref="B516:B517"/>
    <mergeCell ref="C516:D516"/>
    <mergeCell ref="E516:F516"/>
    <mergeCell ref="G516:H516"/>
    <mergeCell ref="I516:J516"/>
    <mergeCell ref="K516:L516"/>
    <mergeCell ref="A516:A517"/>
    <mergeCell ref="B518:B519"/>
    <mergeCell ref="C518:D518"/>
    <mergeCell ref="E518:F518"/>
    <mergeCell ref="G518:H518"/>
    <mergeCell ref="I518:J518"/>
    <mergeCell ref="K518:L518"/>
    <mergeCell ref="A518:A519"/>
    <mergeCell ref="B520:B521"/>
    <mergeCell ref="C520:D520"/>
    <mergeCell ref="E520:F520"/>
    <mergeCell ref="G520:H520"/>
    <mergeCell ref="I520:J520"/>
    <mergeCell ref="K520:L520"/>
    <mergeCell ref="A520:A521"/>
    <mergeCell ref="B522:B523"/>
    <mergeCell ref="C522:D522"/>
    <mergeCell ref="E522:F522"/>
    <mergeCell ref="G522:H522"/>
    <mergeCell ref="I522:J522"/>
    <mergeCell ref="K522:L522"/>
    <mergeCell ref="A522:A523"/>
    <mergeCell ref="B524:B525"/>
    <mergeCell ref="C524:D524"/>
    <mergeCell ref="E524:F524"/>
    <mergeCell ref="G524:H524"/>
    <mergeCell ref="I524:J524"/>
    <mergeCell ref="K524:L524"/>
    <mergeCell ref="A524:A525"/>
    <mergeCell ref="B526:B527"/>
    <mergeCell ref="C526:D526"/>
    <mergeCell ref="E526:F526"/>
    <mergeCell ref="G526:H526"/>
    <mergeCell ref="I526:J526"/>
    <mergeCell ref="K526:L526"/>
    <mergeCell ref="A526:A527"/>
    <mergeCell ref="B528:B529"/>
    <mergeCell ref="C528:D528"/>
    <mergeCell ref="E528:F528"/>
    <mergeCell ref="G528:H528"/>
    <mergeCell ref="I528:J528"/>
    <mergeCell ref="K528:L528"/>
    <mergeCell ref="A528:A529"/>
    <mergeCell ref="B530:B531"/>
    <mergeCell ref="C530:D530"/>
    <mergeCell ref="E530:F530"/>
    <mergeCell ref="G530:H530"/>
    <mergeCell ref="I530:J530"/>
    <mergeCell ref="K530:L530"/>
    <mergeCell ref="A530:A531"/>
    <mergeCell ref="B532:B533"/>
    <mergeCell ref="C532:D532"/>
    <mergeCell ref="E532:F532"/>
    <mergeCell ref="G532:H532"/>
    <mergeCell ref="I532:J532"/>
    <mergeCell ref="K532:L532"/>
    <mergeCell ref="A532:A533"/>
    <mergeCell ref="B534:B535"/>
    <mergeCell ref="C534:D534"/>
    <mergeCell ref="E534:F534"/>
    <mergeCell ref="G534:H534"/>
    <mergeCell ref="I534:J534"/>
    <mergeCell ref="K534:L534"/>
    <mergeCell ref="A534:A535"/>
    <mergeCell ref="B536:B537"/>
    <mergeCell ref="C536:D536"/>
    <mergeCell ref="E536:F536"/>
    <mergeCell ref="G536:H536"/>
    <mergeCell ref="I536:J536"/>
    <mergeCell ref="K536:L536"/>
    <mergeCell ref="A536:A537"/>
    <mergeCell ref="B538:B539"/>
    <mergeCell ref="C538:D538"/>
    <mergeCell ref="E538:F538"/>
    <mergeCell ref="G538:H538"/>
    <mergeCell ref="I538:J538"/>
    <mergeCell ref="K538:L538"/>
    <mergeCell ref="A538:A539"/>
    <mergeCell ref="B540:B541"/>
    <mergeCell ref="C540:D540"/>
    <mergeCell ref="E540:F540"/>
    <mergeCell ref="G540:H540"/>
    <mergeCell ref="I540:J540"/>
    <mergeCell ref="K540:L540"/>
    <mergeCell ref="A540:A541"/>
    <mergeCell ref="B542:B543"/>
    <mergeCell ref="C542:D542"/>
    <mergeCell ref="E542:F542"/>
    <mergeCell ref="G542:H542"/>
    <mergeCell ref="I542:J542"/>
    <mergeCell ref="K542:L542"/>
    <mergeCell ref="A542:A543"/>
    <mergeCell ref="B544:B545"/>
    <mergeCell ref="C544:D544"/>
    <mergeCell ref="E544:F544"/>
    <mergeCell ref="G544:H544"/>
    <mergeCell ref="I544:J544"/>
    <mergeCell ref="K544:L544"/>
    <mergeCell ref="A572:A573"/>
    <mergeCell ref="B574:B575"/>
    <mergeCell ref="C574:D574"/>
    <mergeCell ref="E574:F574"/>
    <mergeCell ref="G574:H574"/>
    <mergeCell ref="I574:J574"/>
    <mergeCell ref="K574:L574"/>
    <mergeCell ref="A574:A575"/>
    <mergeCell ref="B576:B577"/>
    <mergeCell ref="C576:D576"/>
    <mergeCell ref="E576:F576"/>
    <mergeCell ref="G576:H576"/>
    <mergeCell ref="I576:J576"/>
    <mergeCell ref="K576:L576"/>
    <mergeCell ref="A576:A577"/>
    <mergeCell ref="B578:B579"/>
    <mergeCell ref="C578:D578"/>
    <mergeCell ref="E578:F578"/>
    <mergeCell ref="G578:H578"/>
    <mergeCell ref="I578:J578"/>
    <mergeCell ref="K578:L578"/>
    <mergeCell ref="A578:A579"/>
    <mergeCell ref="B580:B581"/>
    <mergeCell ref="C580:D580"/>
    <mergeCell ref="E580:F580"/>
    <mergeCell ref="G580:H580"/>
    <mergeCell ref="I580:J580"/>
    <mergeCell ref="K580:L580"/>
    <mergeCell ref="A580:A581"/>
    <mergeCell ref="B582:B583"/>
    <mergeCell ref="C582:D582"/>
    <mergeCell ref="E582:F582"/>
    <mergeCell ref="G582:H582"/>
    <mergeCell ref="I582:J582"/>
    <mergeCell ref="K582:L582"/>
    <mergeCell ref="A582:A583"/>
    <mergeCell ref="B584:B585"/>
    <mergeCell ref="C584:D584"/>
    <mergeCell ref="E584:F584"/>
    <mergeCell ref="G584:H584"/>
    <mergeCell ref="I584:J584"/>
    <mergeCell ref="K584:L584"/>
    <mergeCell ref="A584:A585"/>
    <mergeCell ref="B586:B587"/>
    <mergeCell ref="C586:D586"/>
    <mergeCell ref="E586:F586"/>
    <mergeCell ref="G586:H586"/>
    <mergeCell ref="I586:J586"/>
    <mergeCell ref="K586:L586"/>
    <mergeCell ref="A586:A587"/>
    <mergeCell ref="B588:B589"/>
    <mergeCell ref="C588:D588"/>
    <mergeCell ref="E588:F588"/>
    <mergeCell ref="G588:H588"/>
    <mergeCell ref="I588:J588"/>
    <mergeCell ref="K588:L588"/>
    <mergeCell ref="A588:A589"/>
    <mergeCell ref="B590:B591"/>
    <mergeCell ref="C590:D590"/>
    <mergeCell ref="E590:F590"/>
    <mergeCell ref="G590:H590"/>
    <mergeCell ref="I590:J590"/>
    <mergeCell ref="K590:L590"/>
    <mergeCell ref="A590:A591"/>
    <mergeCell ref="B592:B593"/>
    <mergeCell ref="C592:D592"/>
    <mergeCell ref="E592:F592"/>
    <mergeCell ref="G592:H592"/>
    <mergeCell ref="I592:J592"/>
    <mergeCell ref="K592:L592"/>
    <mergeCell ref="A592:A593"/>
    <mergeCell ref="B594:B595"/>
    <mergeCell ref="C594:D594"/>
    <mergeCell ref="E594:F594"/>
    <mergeCell ref="G594:H594"/>
    <mergeCell ref="I594:J594"/>
    <mergeCell ref="K594:L594"/>
    <mergeCell ref="A594:A595"/>
    <mergeCell ref="B596:B597"/>
    <mergeCell ref="C596:D596"/>
    <mergeCell ref="E596:F596"/>
    <mergeCell ref="G596:H596"/>
    <mergeCell ref="I596:J596"/>
    <mergeCell ref="K596:L596"/>
    <mergeCell ref="A596:A597"/>
    <mergeCell ref="B598:B599"/>
    <mergeCell ref="C598:D598"/>
    <mergeCell ref="E598:F598"/>
    <mergeCell ref="G598:H598"/>
    <mergeCell ref="I598:J598"/>
    <mergeCell ref="K598:L598"/>
    <mergeCell ref="A598:A599"/>
    <mergeCell ref="B600:B601"/>
    <mergeCell ref="C600:D600"/>
    <mergeCell ref="E600:F600"/>
    <mergeCell ref="G600:H600"/>
    <mergeCell ref="I600:J600"/>
    <mergeCell ref="K600:L600"/>
    <mergeCell ref="A1:L1"/>
    <mergeCell ref="B2:B3"/>
    <mergeCell ref="C2:D2"/>
    <mergeCell ref="E2:F2"/>
    <mergeCell ref="G2:H2"/>
    <mergeCell ref="I2:J2"/>
    <mergeCell ref="K2:L2"/>
    <mergeCell ref="A2:A3"/>
    <mergeCell ref="B4:B5"/>
    <mergeCell ref="C4:D4"/>
    <mergeCell ref="E4:F4"/>
    <mergeCell ref="G4:H4"/>
    <mergeCell ref="I4:J4"/>
    <mergeCell ref="K4:L4"/>
    <mergeCell ref="A4:A5"/>
    <mergeCell ref="B6:B7"/>
    <mergeCell ref="C6:D6"/>
    <mergeCell ref="E6:F6"/>
    <mergeCell ref="G6:H6"/>
    <mergeCell ref="I6:J6"/>
    <mergeCell ref="K6:L6"/>
    <mergeCell ref="A6:A7"/>
    <mergeCell ref="B8:B9"/>
    <mergeCell ref="C8:D8"/>
    <mergeCell ref="E8:F8"/>
    <mergeCell ref="G8:H8"/>
    <mergeCell ref="I8:J8"/>
    <mergeCell ref="K8:L8"/>
    <mergeCell ref="A8:A9"/>
    <mergeCell ref="B10:B11"/>
    <mergeCell ref="C10:D10"/>
    <mergeCell ref="E10:F10"/>
    <mergeCell ref="G10:H10"/>
    <mergeCell ref="I10:J10"/>
    <mergeCell ref="K10:L10"/>
    <mergeCell ref="A10:A11"/>
    <mergeCell ref="B12:B13"/>
    <mergeCell ref="C12:D12"/>
    <mergeCell ref="E12:F12"/>
    <mergeCell ref="G12:H12"/>
    <mergeCell ref="I12:J12"/>
    <mergeCell ref="K12:L12"/>
    <mergeCell ref="A600:A601"/>
    <mergeCell ref="A602:A603"/>
    <mergeCell ref="B602:B603"/>
    <mergeCell ref="C602:D602"/>
    <mergeCell ref="E602:F602"/>
    <mergeCell ref="G602:H602"/>
    <mergeCell ref="I602:J602"/>
    <mergeCell ref="K602:L602"/>
    <mergeCell ref="A544:A545"/>
    <mergeCell ref="B546:B547"/>
    <mergeCell ref="C546:D546"/>
    <mergeCell ref="E546:F546"/>
    <mergeCell ref="G546:H546"/>
    <mergeCell ref="I546:J546"/>
    <mergeCell ref="K546:L546"/>
    <mergeCell ref="A546:A547"/>
    <mergeCell ref="B548:B549"/>
    <mergeCell ref="C548:D548"/>
    <mergeCell ref="E548:F548"/>
    <mergeCell ref="G548:H548"/>
    <mergeCell ref="I548:J548"/>
    <mergeCell ref="K548:L548"/>
    <mergeCell ref="A548:A549"/>
    <mergeCell ref="B550:B551"/>
    <mergeCell ref="C550:D550"/>
    <mergeCell ref="E550:F550"/>
    <mergeCell ref="G550:H550"/>
    <mergeCell ref="I550:J550"/>
    <mergeCell ref="K550:L550"/>
    <mergeCell ref="A550:A551"/>
    <mergeCell ref="B552:B553"/>
    <mergeCell ref="C552:D552"/>
    <mergeCell ref="E552:F552"/>
    <mergeCell ref="G552:H552"/>
    <mergeCell ref="I552:J552"/>
    <mergeCell ref="K552:L552"/>
    <mergeCell ref="A552:A553"/>
    <mergeCell ref="B554:B555"/>
    <mergeCell ref="C554:D554"/>
    <mergeCell ref="E554:F554"/>
    <mergeCell ref="G554:H554"/>
    <mergeCell ref="I554:J554"/>
    <mergeCell ref="K554:L554"/>
    <mergeCell ref="A554:A555"/>
    <mergeCell ref="B556:B557"/>
    <mergeCell ref="C556:D556"/>
    <mergeCell ref="E556:F556"/>
    <mergeCell ref="G556:H556"/>
    <mergeCell ref="I556:J556"/>
    <mergeCell ref="K556:L556"/>
    <mergeCell ref="A556:A557"/>
    <mergeCell ref="B558:B559"/>
    <mergeCell ref="C558:D558"/>
    <mergeCell ref="E558:F558"/>
    <mergeCell ref="G558:H558"/>
    <mergeCell ref="I558:J558"/>
    <mergeCell ref="K558:L558"/>
    <mergeCell ref="A558:A559"/>
    <mergeCell ref="B560:B561"/>
    <mergeCell ref="C560:D560"/>
    <mergeCell ref="E560:F560"/>
    <mergeCell ref="G560:H560"/>
    <mergeCell ref="I560:J560"/>
    <mergeCell ref="K560:L560"/>
    <mergeCell ref="A560:A561"/>
    <mergeCell ref="B562:B563"/>
    <mergeCell ref="C562:D562"/>
    <mergeCell ref="E562:F562"/>
    <mergeCell ref="G562:H562"/>
    <mergeCell ref="I562:J562"/>
    <mergeCell ref="K562:L562"/>
    <mergeCell ref="A562:A563"/>
    <mergeCell ref="B564:B565"/>
    <mergeCell ref="C564:D564"/>
    <mergeCell ref="E564:F564"/>
    <mergeCell ref="G564:H564"/>
    <mergeCell ref="I564:J564"/>
    <mergeCell ref="K564:L564"/>
    <mergeCell ref="A564:A565"/>
    <mergeCell ref="B566:B567"/>
    <mergeCell ref="C566:D566"/>
    <mergeCell ref="E566:F566"/>
    <mergeCell ref="G566:H566"/>
    <mergeCell ref="I566:J566"/>
    <mergeCell ref="K566:L566"/>
    <mergeCell ref="A566:A567"/>
    <mergeCell ref="B568:B569"/>
    <mergeCell ref="C568:D568"/>
    <mergeCell ref="E568:F568"/>
    <mergeCell ref="G568:H568"/>
    <mergeCell ref="I568:J568"/>
    <mergeCell ref="K568:L568"/>
    <mergeCell ref="A568:A569"/>
    <mergeCell ref="B570:B571"/>
    <mergeCell ref="C570:D570"/>
    <mergeCell ref="E570:F570"/>
    <mergeCell ref="G570:H570"/>
    <mergeCell ref="I570:J570"/>
    <mergeCell ref="K570:L570"/>
    <mergeCell ref="A570:A571"/>
    <mergeCell ref="B572:B573"/>
    <mergeCell ref="C572:D572"/>
    <mergeCell ref="E572:F572"/>
    <mergeCell ref="G572:H572"/>
    <mergeCell ref="I572:J572"/>
    <mergeCell ref="K572:L572"/>
    <mergeCell ref="A208:A209"/>
    <mergeCell ref="B210:B211"/>
    <mergeCell ref="C210:D210"/>
    <mergeCell ref="E210:F210"/>
    <mergeCell ref="G210:H210"/>
    <mergeCell ref="I210:J210"/>
    <mergeCell ref="K210:L210"/>
    <mergeCell ref="A210:A211"/>
    <mergeCell ref="B212:B213"/>
    <mergeCell ref="C212:D212"/>
    <mergeCell ref="E212:F212"/>
    <mergeCell ref="G212:H212"/>
    <mergeCell ref="I212:J212"/>
    <mergeCell ref="K212:L212"/>
    <mergeCell ref="A212:A213"/>
    <mergeCell ref="B214:B215"/>
    <mergeCell ref="C214:D214"/>
    <mergeCell ref="E214:F214"/>
    <mergeCell ref="G214:H214"/>
    <mergeCell ref="I214:J214"/>
    <mergeCell ref="K214:L214"/>
    <mergeCell ref="A214:A215"/>
    <mergeCell ref="B216:B217"/>
    <mergeCell ref="C216:D216"/>
    <mergeCell ref="E216:F216"/>
    <mergeCell ref="G216:H216"/>
    <mergeCell ref="I216:J216"/>
    <mergeCell ref="K216:L216"/>
    <mergeCell ref="A216:A217"/>
    <mergeCell ref="B218:B219"/>
    <mergeCell ref="C218:D218"/>
    <mergeCell ref="E218:F218"/>
    <mergeCell ref="G218:H218"/>
    <mergeCell ref="I218:J218"/>
    <mergeCell ref="K218:L218"/>
    <mergeCell ref="A218:A219"/>
    <mergeCell ref="B220:B221"/>
    <mergeCell ref="C220:D220"/>
    <mergeCell ref="E220:F220"/>
    <mergeCell ref="G220:H220"/>
    <mergeCell ref="I220:J220"/>
    <mergeCell ref="K220:L220"/>
    <mergeCell ref="A220:A221"/>
    <mergeCell ref="B222:B223"/>
    <mergeCell ref="C222:D222"/>
    <mergeCell ref="E222:F222"/>
    <mergeCell ref="G222:H222"/>
    <mergeCell ref="I222:J222"/>
    <mergeCell ref="K222:L222"/>
    <mergeCell ref="A222:A223"/>
    <mergeCell ref="B224:B225"/>
    <mergeCell ref="C224:D224"/>
    <mergeCell ref="E224:F224"/>
    <mergeCell ref="G224:H224"/>
    <mergeCell ref="I224:J224"/>
    <mergeCell ref="K224:L224"/>
    <mergeCell ref="A224:A225"/>
    <mergeCell ref="B226:B227"/>
    <mergeCell ref="C226:D226"/>
    <mergeCell ref="E226:F226"/>
    <mergeCell ref="G226:H226"/>
    <mergeCell ref="I226:J226"/>
    <mergeCell ref="K226:L226"/>
    <mergeCell ref="A226:A227"/>
    <mergeCell ref="B228:B229"/>
    <mergeCell ref="C228:D228"/>
    <mergeCell ref="E228:F228"/>
    <mergeCell ref="G228:H228"/>
    <mergeCell ref="I228:J228"/>
    <mergeCell ref="K228:L228"/>
    <mergeCell ref="A228:A229"/>
    <mergeCell ref="B230:B231"/>
    <mergeCell ref="C230:D230"/>
    <mergeCell ref="E230:F230"/>
    <mergeCell ref="G230:H230"/>
    <mergeCell ref="I230:J230"/>
    <mergeCell ref="K230:L230"/>
    <mergeCell ref="A230:A231"/>
    <mergeCell ref="B232:B233"/>
    <mergeCell ref="C232:D232"/>
    <mergeCell ref="E232:F232"/>
    <mergeCell ref="G232:H232"/>
    <mergeCell ref="I232:J232"/>
    <mergeCell ref="K232:L232"/>
    <mergeCell ref="A232:A233"/>
    <mergeCell ref="B234:B235"/>
    <mergeCell ref="C234:D234"/>
    <mergeCell ref="E234:F234"/>
    <mergeCell ref="G234:H234"/>
    <mergeCell ref="I234:J234"/>
    <mergeCell ref="K234:L234"/>
    <mergeCell ref="A234:A235"/>
    <mergeCell ref="B236:B237"/>
    <mergeCell ref="C236:D236"/>
    <mergeCell ref="E236:F236"/>
    <mergeCell ref="G236:H236"/>
    <mergeCell ref="I236:J236"/>
    <mergeCell ref="K236:L236"/>
    <mergeCell ref="A236:A237"/>
    <mergeCell ref="B238:B239"/>
    <mergeCell ref="C238:D238"/>
    <mergeCell ref="E238:F238"/>
    <mergeCell ref="G238:H238"/>
    <mergeCell ref="I238:J238"/>
    <mergeCell ref="K238:L238"/>
    <mergeCell ref="A238:A239"/>
    <mergeCell ref="B240:B241"/>
    <mergeCell ref="C240:D240"/>
    <mergeCell ref="E240:F240"/>
    <mergeCell ref="G240:H240"/>
    <mergeCell ref="I240:J240"/>
    <mergeCell ref="K240:L240"/>
    <mergeCell ref="A240:A241"/>
    <mergeCell ref="B242:B243"/>
    <mergeCell ref="C242:D242"/>
    <mergeCell ref="E242:F242"/>
    <mergeCell ref="G242:H242"/>
    <mergeCell ref="I242:J242"/>
    <mergeCell ref="K242:L242"/>
    <mergeCell ref="A242:A243"/>
    <mergeCell ref="B244:B245"/>
    <mergeCell ref="C244:D244"/>
    <mergeCell ref="E244:F244"/>
    <mergeCell ref="G244:H244"/>
    <mergeCell ref="I244:J244"/>
    <mergeCell ref="K244:L244"/>
    <mergeCell ref="A244:A245"/>
    <mergeCell ref="B246:B247"/>
    <mergeCell ref="C246:D246"/>
    <mergeCell ref="E246:F246"/>
    <mergeCell ref="G246:H246"/>
    <mergeCell ref="I246:J246"/>
    <mergeCell ref="K246:L246"/>
    <mergeCell ref="A246:A247"/>
    <mergeCell ref="B248:B249"/>
    <mergeCell ref="C248:D248"/>
    <mergeCell ref="E248:F248"/>
    <mergeCell ref="G248:H248"/>
    <mergeCell ref="I248:J248"/>
    <mergeCell ref="K248:L248"/>
    <mergeCell ref="A248:A249"/>
    <mergeCell ref="B250:B251"/>
    <mergeCell ref="C250:D250"/>
    <mergeCell ref="E250:F250"/>
    <mergeCell ref="G250:H250"/>
    <mergeCell ref="I250:J250"/>
    <mergeCell ref="K250:L250"/>
    <mergeCell ref="A250:A251"/>
    <mergeCell ref="B252:B253"/>
    <mergeCell ref="C252:D252"/>
    <mergeCell ref="E252:F252"/>
    <mergeCell ref="G252:H252"/>
    <mergeCell ref="I252:J252"/>
    <mergeCell ref="K252:L252"/>
    <mergeCell ref="A252:A253"/>
    <mergeCell ref="B254:B255"/>
    <mergeCell ref="C254:D254"/>
    <mergeCell ref="E254:F254"/>
    <mergeCell ref="G254:H254"/>
    <mergeCell ref="I254:J254"/>
    <mergeCell ref="K254:L254"/>
    <mergeCell ref="A254:A255"/>
    <mergeCell ref="B256:B257"/>
    <mergeCell ref="C256:D256"/>
    <mergeCell ref="E256:F256"/>
    <mergeCell ref="G256:H256"/>
    <mergeCell ref="I256:J256"/>
    <mergeCell ref="K256:L256"/>
    <mergeCell ref="A256:A257"/>
    <mergeCell ref="B258:B259"/>
    <mergeCell ref="C258:D258"/>
    <mergeCell ref="E258:F258"/>
    <mergeCell ref="G258:H258"/>
    <mergeCell ref="I258:J258"/>
    <mergeCell ref="K258:L258"/>
    <mergeCell ref="A258:A259"/>
    <mergeCell ref="B260:B261"/>
    <mergeCell ref="C260:D260"/>
    <mergeCell ref="E260:F260"/>
    <mergeCell ref="G260:H260"/>
    <mergeCell ref="I260:J260"/>
    <mergeCell ref="K260:L260"/>
    <mergeCell ref="A260:A261"/>
    <mergeCell ref="B262:B263"/>
    <mergeCell ref="C262:D262"/>
    <mergeCell ref="E262:F262"/>
    <mergeCell ref="G262:H262"/>
    <mergeCell ref="I262:J262"/>
    <mergeCell ref="K262:L262"/>
    <mergeCell ref="A262:A263"/>
    <mergeCell ref="B264:B265"/>
    <mergeCell ref="C264:D264"/>
    <mergeCell ref="E264:F264"/>
    <mergeCell ref="G264:H264"/>
    <mergeCell ref="I264:J264"/>
    <mergeCell ref="K264:L264"/>
    <mergeCell ref="A264:A265"/>
    <mergeCell ref="B266:B267"/>
    <mergeCell ref="C266:D266"/>
    <mergeCell ref="E266:F266"/>
    <mergeCell ref="G266:H266"/>
    <mergeCell ref="I266:J266"/>
    <mergeCell ref="K266:L266"/>
    <mergeCell ref="A266:A267"/>
    <mergeCell ref="B268:B269"/>
    <mergeCell ref="C268:D268"/>
    <mergeCell ref="E268:F268"/>
    <mergeCell ref="G268:H268"/>
    <mergeCell ref="I268:J268"/>
    <mergeCell ref="K268:L268"/>
    <mergeCell ref="A268:A269"/>
    <mergeCell ref="B270:B271"/>
    <mergeCell ref="C270:D270"/>
    <mergeCell ref="E270:F270"/>
    <mergeCell ref="G270:H270"/>
    <mergeCell ref="I270:J270"/>
    <mergeCell ref="K270:L270"/>
    <mergeCell ref="A270:A271"/>
    <mergeCell ref="B272:B273"/>
    <mergeCell ref="C272:D272"/>
    <mergeCell ref="E272:F272"/>
    <mergeCell ref="G272:H272"/>
    <mergeCell ref="I272:J272"/>
    <mergeCell ref="K272:L272"/>
    <mergeCell ref="A272:A273"/>
    <mergeCell ref="B274:B275"/>
    <mergeCell ref="C274:D274"/>
    <mergeCell ref="E274:F274"/>
    <mergeCell ref="G274:H274"/>
    <mergeCell ref="I274:J274"/>
    <mergeCell ref="K274:L274"/>
    <mergeCell ref="A274:A275"/>
    <mergeCell ref="B276:B277"/>
    <mergeCell ref="C276:D276"/>
    <mergeCell ref="E276:F276"/>
    <mergeCell ref="G276:H276"/>
    <mergeCell ref="I276:J276"/>
    <mergeCell ref="K276:L276"/>
    <mergeCell ref="A276:A277"/>
    <mergeCell ref="B278:B279"/>
    <mergeCell ref="C278:D278"/>
    <mergeCell ref="E278:F278"/>
    <mergeCell ref="G278:H278"/>
    <mergeCell ref="I278:J278"/>
    <mergeCell ref="K278:L278"/>
    <mergeCell ref="A278:A279"/>
    <mergeCell ref="B280:B281"/>
    <mergeCell ref="C280:D280"/>
    <mergeCell ref="E280:F280"/>
    <mergeCell ref="G280:H280"/>
    <mergeCell ref="I280:J280"/>
    <mergeCell ref="K280:L280"/>
    <mergeCell ref="A280:A281"/>
    <mergeCell ref="B282:B283"/>
    <mergeCell ref="C282:D282"/>
    <mergeCell ref="E282:F282"/>
    <mergeCell ref="G282:H282"/>
    <mergeCell ref="I282:J282"/>
    <mergeCell ref="K282:L282"/>
    <mergeCell ref="A282:A283"/>
    <mergeCell ref="B284:B285"/>
    <mergeCell ref="C284:D284"/>
    <mergeCell ref="E284:F284"/>
    <mergeCell ref="G284:H284"/>
    <mergeCell ref="I284:J284"/>
    <mergeCell ref="K284:L284"/>
    <mergeCell ref="A284:A285"/>
    <mergeCell ref="B286:B287"/>
    <mergeCell ref="C286:D286"/>
    <mergeCell ref="E286:F286"/>
    <mergeCell ref="G286:H286"/>
    <mergeCell ref="I286:J286"/>
    <mergeCell ref="K286:L286"/>
    <mergeCell ref="A286:A287"/>
    <mergeCell ref="B288:B289"/>
    <mergeCell ref="C288:D288"/>
    <mergeCell ref="E288:F288"/>
    <mergeCell ref="G288:H288"/>
    <mergeCell ref="I288:J288"/>
    <mergeCell ref="K288:L288"/>
    <mergeCell ref="A288:A289"/>
    <mergeCell ref="B290:B291"/>
    <mergeCell ref="C290:D290"/>
    <mergeCell ref="E290:F290"/>
    <mergeCell ref="G290:H290"/>
    <mergeCell ref="I290:J290"/>
    <mergeCell ref="K290:L290"/>
    <mergeCell ref="A290:A291"/>
    <mergeCell ref="B292:B293"/>
    <mergeCell ref="C292:D292"/>
    <mergeCell ref="E292:F292"/>
    <mergeCell ref="G292:H292"/>
    <mergeCell ref="I292:J292"/>
    <mergeCell ref="K292:L292"/>
    <mergeCell ref="A292:A293"/>
    <mergeCell ref="B294:B295"/>
    <mergeCell ref="C294:D294"/>
    <mergeCell ref="E294:F294"/>
    <mergeCell ref="G294:H294"/>
    <mergeCell ref="I294:J294"/>
    <mergeCell ref="K294:L294"/>
    <mergeCell ref="A294:A295"/>
    <mergeCell ref="B296:B297"/>
    <mergeCell ref="C296:D296"/>
    <mergeCell ref="E296:F296"/>
    <mergeCell ref="G296:H296"/>
    <mergeCell ref="I296:J296"/>
    <mergeCell ref="K296:L296"/>
    <mergeCell ref="A296:A297"/>
    <mergeCell ref="B298:B299"/>
    <mergeCell ref="C298:D298"/>
    <mergeCell ref="E298:F298"/>
    <mergeCell ref="G298:H298"/>
    <mergeCell ref="I298:J298"/>
    <mergeCell ref="K298:L298"/>
    <mergeCell ref="A298:A299"/>
    <mergeCell ref="B300:B301"/>
    <mergeCell ref="C300:D300"/>
    <mergeCell ref="E300:F300"/>
    <mergeCell ref="G300:H300"/>
    <mergeCell ref="I300:J300"/>
    <mergeCell ref="K300:L300"/>
    <mergeCell ref="A300:A301"/>
    <mergeCell ref="B302:B303"/>
    <mergeCell ref="C302:D302"/>
    <mergeCell ref="E302:F302"/>
    <mergeCell ref="G302:H302"/>
    <mergeCell ref="I302:J302"/>
    <mergeCell ref="K302:L302"/>
    <mergeCell ref="A302:A303"/>
    <mergeCell ref="B304:B305"/>
    <mergeCell ref="C304:D304"/>
    <mergeCell ref="E304:F304"/>
    <mergeCell ref="G304:H304"/>
    <mergeCell ref="I304:J304"/>
    <mergeCell ref="K304:L304"/>
    <mergeCell ref="A304:A305"/>
    <mergeCell ref="B306:B307"/>
    <mergeCell ref="C306:D306"/>
    <mergeCell ref="E306:F306"/>
    <mergeCell ref="G306:H306"/>
    <mergeCell ref="I306:J306"/>
    <mergeCell ref="K306:L306"/>
    <mergeCell ref="A306:A307"/>
    <mergeCell ref="B308:B309"/>
    <mergeCell ref="C308:D308"/>
    <mergeCell ref="E308:F308"/>
    <mergeCell ref="G308:H308"/>
    <mergeCell ref="I308:J308"/>
    <mergeCell ref="K308:L308"/>
    <mergeCell ref="A308:A309"/>
    <mergeCell ref="B310:B311"/>
    <mergeCell ref="C310:D310"/>
    <mergeCell ref="E310:F310"/>
    <mergeCell ref="G310:H310"/>
    <mergeCell ref="I310:J310"/>
    <mergeCell ref="K310:L310"/>
    <mergeCell ref="A310:A311"/>
    <mergeCell ref="B312:B313"/>
    <mergeCell ref="C312:D312"/>
    <mergeCell ref="E312:F312"/>
    <mergeCell ref="G312:H312"/>
    <mergeCell ref="I312:J312"/>
    <mergeCell ref="K312:L312"/>
    <mergeCell ref="A312:A313"/>
    <mergeCell ref="B314:B315"/>
    <mergeCell ref="C314:D314"/>
    <mergeCell ref="E314:F314"/>
    <mergeCell ref="G314:H314"/>
    <mergeCell ref="I314:J314"/>
    <mergeCell ref="K314:L314"/>
    <mergeCell ref="A314:A315"/>
    <mergeCell ref="B316:B317"/>
    <mergeCell ref="C316:D316"/>
    <mergeCell ref="E316:F316"/>
    <mergeCell ref="G316:H316"/>
    <mergeCell ref="I316:J316"/>
    <mergeCell ref="K316:L316"/>
    <mergeCell ref="A316:A317"/>
    <mergeCell ref="B318:B319"/>
    <mergeCell ref="C318:D318"/>
    <mergeCell ref="E318:F318"/>
    <mergeCell ref="G318:H318"/>
    <mergeCell ref="I318:J318"/>
    <mergeCell ref="K318:L318"/>
    <mergeCell ref="A318:A319"/>
    <mergeCell ref="B320:B321"/>
    <mergeCell ref="C320:D320"/>
    <mergeCell ref="E320:F320"/>
    <mergeCell ref="G320:H320"/>
    <mergeCell ref="I320:J320"/>
    <mergeCell ref="K320:L320"/>
    <mergeCell ref="A320:A321"/>
    <mergeCell ref="B322:B323"/>
    <mergeCell ref="C322:D322"/>
    <mergeCell ref="E322:F322"/>
    <mergeCell ref="G322:H322"/>
    <mergeCell ref="I322:J322"/>
    <mergeCell ref="K322:L322"/>
    <mergeCell ref="A322:A323"/>
    <mergeCell ref="B324:B325"/>
    <mergeCell ref="C324:D324"/>
    <mergeCell ref="E324:F324"/>
    <mergeCell ref="G324:H324"/>
    <mergeCell ref="I324:J324"/>
    <mergeCell ref="K324:L324"/>
    <mergeCell ref="A324:A325"/>
    <mergeCell ref="B326:B327"/>
    <mergeCell ref="C326:D326"/>
    <mergeCell ref="E326:F326"/>
    <mergeCell ref="G326:H326"/>
    <mergeCell ref="I326:J326"/>
    <mergeCell ref="K326:L326"/>
    <mergeCell ref="A326:A327"/>
    <mergeCell ref="B328:B329"/>
    <mergeCell ref="C328:D328"/>
    <mergeCell ref="E328:F328"/>
    <mergeCell ref="G328:H328"/>
    <mergeCell ref="I328:J328"/>
    <mergeCell ref="K328:L328"/>
    <mergeCell ref="A328:A329"/>
    <mergeCell ref="B330:B331"/>
    <mergeCell ref="C330:D330"/>
    <mergeCell ref="E330:F330"/>
    <mergeCell ref="G330:H330"/>
    <mergeCell ref="I330:J330"/>
    <mergeCell ref="K330:L330"/>
    <mergeCell ref="A330:A331"/>
    <mergeCell ref="B332:B333"/>
    <mergeCell ref="C332:D332"/>
    <mergeCell ref="E332:F332"/>
    <mergeCell ref="G332:H332"/>
    <mergeCell ref="I332:J332"/>
    <mergeCell ref="K332:L332"/>
    <mergeCell ref="A332:A333"/>
    <mergeCell ref="B334:B335"/>
    <mergeCell ref="C334:D334"/>
    <mergeCell ref="E334:F334"/>
    <mergeCell ref="G334:H334"/>
    <mergeCell ref="I334:J334"/>
    <mergeCell ref="K334:L334"/>
    <mergeCell ref="A334:A335"/>
    <mergeCell ref="B336:B337"/>
    <mergeCell ref="C336:D336"/>
    <mergeCell ref="E336:F336"/>
    <mergeCell ref="G336:H336"/>
    <mergeCell ref="I336:J336"/>
    <mergeCell ref="K336:L336"/>
    <mergeCell ref="A336:A337"/>
    <mergeCell ref="B338:B339"/>
    <mergeCell ref="C338:D338"/>
    <mergeCell ref="E338:F338"/>
    <mergeCell ref="G338:H338"/>
    <mergeCell ref="I338:J338"/>
    <mergeCell ref="K338:L338"/>
    <mergeCell ref="A338:A339"/>
    <mergeCell ref="B340:B341"/>
    <mergeCell ref="C340:D340"/>
    <mergeCell ref="E340:F340"/>
    <mergeCell ref="G340:H340"/>
    <mergeCell ref="I340:J340"/>
    <mergeCell ref="K340:L340"/>
    <mergeCell ref="A340:A341"/>
    <mergeCell ref="B342:B343"/>
    <mergeCell ref="C342:D342"/>
    <mergeCell ref="E342:F342"/>
    <mergeCell ref="G342:H342"/>
    <mergeCell ref="I342:J342"/>
    <mergeCell ref="K342:L342"/>
    <mergeCell ref="A342:A343"/>
    <mergeCell ref="B344:B345"/>
    <mergeCell ref="C344:D344"/>
    <mergeCell ref="E344:F344"/>
    <mergeCell ref="G344:H344"/>
    <mergeCell ref="I344:J344"/>
    <mergeCell ref="K344:L344"/>
    <mergeCell ref="A344:A345"/>
    <mergeCell ref="B346:B347"/>
    <mergeCell ref="C346:D346"/>
    <mergeCell ref="E346:F346"/>
    <mergeCell ref="G346:H346"/>
    <mergeCell ref="I346:J346"/>
    <mergeCell ref="K346:L346"/>
    <mergeCell ref="A346:A347"/>
    <mergeCell ref="B348:B349"/>
    <mergeCell ref="C348:D348"/>
    <mergeCell ref="E348:F348"/>
    <mergeCell ref="G348:H348"/>
    <mergeCell ref="I348:J348"/>
    <mergeCell ref="K348:L348"/>
    <mergeCell ref="A348:A349"/>
    <mergeCell ref="B350:B351"/>
    <mergeCell ref="C350:D350"/>
    <mergeCell ref="E350:F350"/>
    <mergeCell ref="G350:H350"/>
    <mergeCell ref="I350:J350"/>
    <mergeCell ref="K350:L350"/>
    <mergeCell ref="A350:A351"/>
    <mergeCell ref="B352:B353"/>
    <mergeCell ref="C352:D352"/>
    <mergeCell ref="E352:F352"/>
    <mergeCell ref="G352:H352"/>
    <mergeCell ref="I352:J352"/>
    <mergeCell ref="K352:L352"/>
    <mergeCell ref="A352:A353"/>
    <mergeCell ref="B354:B355"/>
    <mergeCell ref="C354:D354"/>
    <mergeCell ref="E354:F354"/>
    <mergeCell ref="G354:H354"/>
    <mergeCell ref="I354:J354"/>
    <mergeCell ref="K354:L354"/>
    <mergeCell ref="A354:A355"/>
    <mergeCell ref="B356:B357"/>
    <mergeCell ref="C356:D356"/>
    <mergeCell ref="E356:F356"/>
    <mergeCell ref="G356:H356"/>
    <mergeCell ref="I356:J356"/>
    <mergeCell ref="K356:L356"/>
    <mergeCell ref="A356:A357"/>
    <mergeCell ref="B358:B359"/>
    <mergeCell ref="C358:D358"/>
    <mergeCell ref="E358:F358"/>
    <mergeCell ref="G358:H358"/>
    <mergeCell ref="I358:J358"/>
    <mergeCell ref="K358:L358"/>
    <mergeCell ref="A358:A359"/>
    <mergeCell ref="B360:B361"/>
    <mergeCell ref="C360:D360"/>
    <mergeCell ref="E360:F360"/>
    <mergeCell ref="G360:H360"/>
    <mergeCell ref="I360:J360"/>
    <mergeCell ref="K360:L360"/>
    <mergeCell ref="A360:A361"/>
    <mergeCell ref="B362:B363"/>
    <mergeCell ref="C362:D362"/>
    <mergeCell ref="E362:F362"/>
    <mergeCell ref="G362:H362"/>
    <mergeCell ref="I362:J362"/>
    <mergeCell ref="K362:L362"/>
    <mergeCell ref="A362:A363"/>
    <mergeCell ref="B364:B365"/>
    <mergeCell ref="C364:D364"/>
    <mergeCell ref="E364:F364"/>
    <mergeCell ref="G364:H364"/>
    <mergeCell ref="I364:J364"/>
    <mergeCell ref="K364:L364"/>
    <mergeCell ref="A364:A365"/>
    <mergeCell ref="B366:B367"/>
    <mergeCell ref="C366:D366"/>
    <mergeCell ref="E366:F366"/>
    <mergeCell ref="G366:H366"/>
    <mergeCell ref="I366:J366"/>
    <mergeCell ref="K366:L366"/>
    <mergeCell ref="A366:A367"/>
    <mergeCell ref="B368:B369"/>
    <mergeCell ref="C368:D368"/>
    <mergeCell ref="E368:F368"/>
    <mergeCell ref="G368:H368"/>
    <mergeCell ref="I368:J368"/>
    <mergeCell ref="K368:L368"/>
    <mergeCell ref="A368:A369"/>
    <mergeCell ref="B370:B371"/>
    <mergeCell ref="C370:D370"/>
    <mergeCell ref="E370:F370"/>
    <mergeCell ref="G370:H370"/>
    <mergeCell ref="I370:J370"/>
    <mergeCell ref="K370:L370"/>
    <mergeCell ref="A370:A371"/>
    <mergeCell ref="B372:B373"/>
    <mergeCell ref="C372:D372"/>
    <mergeCell ref="E372:F372"/>
    <mergeCell ref="G372:H372"/>
    <mergeCell ref="I372:J372"/>
    <mergeCell ref="K372:L372"/>
    <mergeCell ref="A372:A373"/>
    <mergeCell ref="B374:B375"/>
    <mergeCell ref="C374:D374"/>
    <mergeCell ref="E374:F374"/>
    <mergeCell ref="G374:H374"/>
    <mergeCell ref="I374:J374"/>
    <mergeCell ref="K374:L374"/>
    <mergeCell ref="A374:A375"/>
    <mergeCell ref="B376:B377"/>
    <mergeCell ref="C376:D376"/>
    <mergeCell ref="E376:F376"/>
    <mergeCell ref="G376:H376"/>
    <mergeCell ref="I376:J376"/>
    <mergeCell ref="K376:L376"/>
    <mergeCell ref="A376:A377"/>
    <mergeCell ref="B378:B379"/>
    <mergeCell ref="C378:D378"/>
    <mergeCell ref="E378:F378"/>
    <mergeCell ref="G378:H378"/>
    <mergeCell ref="I378:J378"/>
    <mergeCell ref="K378:L378"/>
    <mergeCell ref="A378:A379"/>
    <mergeCell ref="B380:B381"/>
    <mergeCell ref="C380:D380"/>
    <mergeCell ref="E380:F380"/>
    <mergeCell ref="G380:H380"/>
    <mergeCell ref="I380:J380"/>
    <mergeCell ref="K380:L380"/>
    <mergeCell ref="A380:A381"/>
    <mergeCell ref="B382:B383"/>
    <mergeCell ref="C382:D382"/>
    <mergeCell ref="E382:F382"/>
    <mergeCell ref="G382:H382"/>
    <mergeCell ref="I382:J382"/>
    <mergeCell ref="K382:L382"/>
    <mergeCell ref="A382:A383"/>
    <mergeCell ref="B384:B385"/>
    <mergeCell ref="C384:D384"/>
    <mergeCell ref="E384:F384"/>
    <mergeCell ref="G384:H384"/>
    <mergeCell ref="I384:J384"/>
    <mergeCell ref="K384:L384"/>
    <mergeCell ref="A384:A385"/>
    <mergeCell ref="B386:B387"/>
    <mergeCell ref="C386:D386"/>
    <mergeCell ref="E386:F386"/>
    <mergeCell ref="G386:H386"/>
    <mergeCell ref="I386:J386"/>
    <mergeCell ref="K386:L386"/>
    <mergeCell ref="A386:A387"/>
    <mergeCell ref="B388:B389"/>
    <mergeCell ref="C388:D388"/>
    <mergeCell ref="E388:F388"/>
    <mergeCell ref="G388:H388"/>
    <mergeCell ref="I388:J388"/>
    <mergeCell ref="K388:L388"/>
    <mergeCell ref="A388:A389"/>
    <mergeCell ref="B390:B391"/>
    <mergeCell ref="C390:D390"/>
    <mergeCell ref="E390:F390"/>
    <mergeCell ref="G390:H390"/>
    <mergeCell ref="I390:J390"/>
    <mergeCell ref="K390:L390"/>
    <mergeCell ref="A390:A391"/>
    <mergeCell ref="B392:B393"/>
    <mergeCell ref="C392:D392"/>
    <mergeCell ref="E392:F392"/>
    <mergeCell ref="G392:H392"/>
    <mergeCell ref="I392:J392"/>
    <mergeCell ref="K392:L392"/>
    <mergeCell ref="A392:A393"/>
    <mergeCell ref="B394:B395"/>
    <mergeCell ref="C394:D394"/>
    <mergeCell ref="E394:F394"/>
    <mergeCell ref="G394:H394"/>
    <mergeCell ref="I394:J394"/>
    <mergeCell ref="K394:L394"/>
    <mergeCell ref="A394:A395"/>
    <mergeCell ref="B396:B397"/>
    <mergeCell ref="C396:D396"/>
    <mergeCell ref="E396:F396"/>
    <mergeCell ref="G396:H396"/>
    <mergeCell ref="I396:J396"/>
    <mergeCell ref="K396:L396"/>
    <mergeCell ref="A396:A397"/>
    <mergeCell ref="B398:B399"/>
    <mergeCell ref="C398:D398"/>
    <mergeCell ref="E398:F398"/>
    <mergeCell ref="G398:H398"/>
    <mergeCell ref="I398:J398"/>
    <mergeCell ref="K398:L398"/>
    <mergeCell ref="A398:A399"/>
    <mergeCell ref="B400:B401"/>
    <mergeCell ref="C400:D400"/>
    <mergeCell ref="E400:F400"/>
    <mergeCell ref="G400:H400"/>
    <mergeCell ref="I400:J400"/>
    <mergeCell ref="K400:L400"/>
    <mergeCell ref="A400:A401"/>
    <mergeCell ref="B402:B403"/>
    <mergeCell ref="C402:D402"/>
    <mergeCell ref="E402:F402"/>
    <mergeCell ref="G402:H402"/>
    <mergeCell ref="I402:J402"/>
    <mergeCell ref="K402:L402"/>
    <mergeCell ref="A402:A403"/>
    <mergeCell ref="B404:B405"/>
    <mergeCell ref="C404:D404"/>
    <mergeCell ref="E404:F404"/>
    <mergeCell ref="G404:H404"/>
    <mergeCell ref="I404:J404"/>
    <mergeCell ref="K404:L404"/>
  </mergeCells>
  <dataValidations>
    <dataValidation type="list" allowBlank="1" showErrorMessage="1" sqref="C4 E4 G4 I4 K4 C6 E6 G6 I6 K6 C8 E8 G8 I8 K8 C10 E10 G10 I10 K10 C12 E12 G12 I12 K12 C14 E14 G14 I14 K14 C16 E16 G16 I16 K16 C18 E18 K18 C20 E20 G20 I20 K20 C22 E22 G22 I22 K22 C24 E24 G24 I24 K24 C26 E26 G26 I26 K26 C28 E28 G28 I28 K28 C30 E30 G30 I30 K30 C32 E32 G32 I32 K32 C34 E34 G34 I34 K34 C36 E36 G36 I36 K36 C38 E38 G38 I38 K38 C40 E40 G40 I40 K40 C42 E42 G42 I42 K42 E44 G44 I44 K44 C46 E46 G46 I46 K46 C48 E48 G48 I48 K48 C50 E50 G50 I50 K50 C52 E52 G52 I52 K52 C54 E54 G54 I54 K54 C56 E56 G56 I56 K56 C58 E58 G58 I58 K58 C60 E60 G60 I60 K60 C62 E62 G62 I62 K62 C64 E64 G64 I64 K64 C66 E66 G66 I66 K66 C68 E68 G68 I68 K68 C70 E70 G70 I70 K70 C72 E72 G72 I72 K72 C74 E74 G74 I74 K74 C76 E76 G76 I76 K76 C78 E78 G78 I78 K78 C80 E80 G80 I80 K80 C82 E82 G82 I82 K82 C84 E84 G84 I84 K84 C86 E86 G86 I86 K86 C88 E88 G88 I88 K88 C90 E90 G90 I90 K90 C92 E92 G92 I92 K92 C94 E94 G94 I94 K94 C96 E96 G96 I96 K96 C98 E98 G98 I98 K98 C100 E100 G100 I100 K100 C102 E102 G102 I102 K102 C104 E104 G104 I104 K104 C106 E106 G106 I106 K106 C108 E108 G108 I108 K108 C110 E110 G110 I110 K110 C112 E112 G112 I112 K112 C114 E114 G114 I114 K114 C116 E116 G116 I116 K116 C118 E118 G118 I118 K118 C120 E120 G120 I120 K120 C122 E122 G122 I122 K122 C124 E124 G124 I124 K124 C126 E126 G126 I126 K126 C128 E128 G128 I128 K128 C130 E130 G130 I130 K130 E132 G132 I132 K132 C134 E134 G134 I134 K134 C136 E136 G136 I136 K136 C138 E138 G138 I138 K138 C140 E140 G140 I140 K140 C142 E142 G142 I142 K142 C144 E144 G144 I144 K144 C146 E146 G146 I146 K146 C148 E148 G148 I148 K148 C150 E150 G150 I150 K150 C152 E152 G152 I152 K152 C154 E154 G154 I154 K154 C156 E156 G156 I156 K156 C158 E158 G158 I158 K158 C160 E160 G160 I160 K160 C162 E162 G162 I162 K162 C164 E164 G164 I164 K164 C166 E166 G166 I166 K166 C168 E168 G168 I168 K168 C170 E170 G170 I170 K170 C172 E172 G172 I172 K172 C174 E174 G174 I174 K174 C176 E176 G176 I176 K176 C178 E178 G178 I178 K178 C180 E180 G180 I180 K180 C182 E182 G182 I182 K182 C184 E184 G184 I184 K184 C186 E186 G186 I186 K186 C188 E188 G188 I188 K188 C190 E190 G190 I190 K190 C192 E192 G192 I192 K192 C194 E194 G194 I194 K194 C196 E196 G196 I196 K196 C198 E198 G198 I198 K198 C200 E200 G200 I200 K200 C202 E202 G202 I202 K202 E204 G204 I204 K204 C206 E206 G206 I206 K206 C208 E208 G208 I208 K208 E210 G210 I210 K210 C212 E212 G212 I212 K212 C214 E214 G214 I214 K214 C216 E216 G216 I216 K216 C218 E218 G218 I218 K218 C220 E220 G220 I220 K220 C222 E222 G222 I222 K222 C224 E224 G224 I224 K224 C226 E226 G226 I226 K226 C228 E228 G228 I228 K228 C230 E230 G230 I230 K230 C232 E232 G232 I232 K232 C234 E234 G234 I234 K234 C236 E236 G236 I236 K236 C238 E238 G238 I238 K238 C240 E240 G240 I240 K240 C242 E242 G242 I242 K242 C244 E244 G244 I244 K244 C246 E246 G246 I246 K246 C248 E248 G248 I248 K248 C250 E250 G250 I250 K250 C252 E252 G252 I252 K252 C254 E254 G254 I254 K254 C256 E256 G256 I256 K256 C258 E258 G258 I258 K258 C260 E260 G260 I260 K260 C262 E262 G262 I262 K262 C264 E264 G264 I264 K264 C266 E266 G266 I266 K266 C268 E268 G268 I268 K268 C270 E270 G270 I270 K270 C272 E272 G272 I272 K272 C274 E274 G274 I274 K274 C276 E276 G276 I276 K276 C278 E278 G278 I278 K278 C280 E280 G280 I280 K280 C282 E282 G282 I282 K282 C284 E284 G284 I284 K284 C286 E286 G286 I286 K286 C288 E288 G288 I288 K288 C290 E290 G290 I290 K290 C292 E292 G292 I292 K292 C294 E294 G294 I294 K294 C296 E296 G296 I296 K296 C298 E298 G298 I298 K298 C300 E300 G300 I300 K300 C302 E302 G302 I302 K302 C304 E304 G304 I304 K304 C306 E306 G306 I306 K306 C308 E308 G308 I308 K308 C310 E310 G310 I310 K310 C312 E312 G312 I312 K312 C314 E314 G314 I314 K314 C316 E316 G316 I316 K316 C318 E318 G318 I318 K318 C320 E320 G320 I320 K320 C322 E322 G322 I322 K322 C324 E324 G324 I324 K324 C326 E326 G326 I326 K326 C328 E328 G328 I328 K328 C330 E330 G330 I330 K330 C332 E332 G332 I332 K332 C334 E334 G334 I334 K334 C336 E336 G336 I336 K336 C338 E338 G338 I338 K338 C340 E340 G340 I340 K340 C342 E342 G342 I342 K342 C344 E344 G344 I344 K344 C346 E346 G346 I346 K346 C348 E348 G348 I348 K348 C350 E350 G350 I350 K350 C352 E352 G352 I352 K352 C354 E354 G354 I354 K354 C356 E356 G356 I356 K356 C358 E358 G358 I358 K358 C360 E360 G360 I360 K360 C362 E362 G362 I362 K362 E364 G364 I364 K364 C366 E366 G366 I366 K366 C368 E368 G368 I368 K368 C370 E370 G370 I370 K370 C372 E372 G372 I372 K372 C374 E374 G374 I374 K374 C376 E376 G376 I376 K376 C378 E378 G378 I378 K378 C380 E380 G380 I380 K380 C382 E382 G382 I382 K382 C384 E384 G384 I384 K384 C386 E386 G386 I386 K386 C388 E388 G388 I388 K388 C390 E390 G390 I390 K390 C392 E392 G392 I392 K392 C394 E394 G394 I394 K394 C396 E396 G396 I396 K396 C398 E398 G398 I398 K398 C400 E400 G400 I400 K400 C402 E402 G402 I402 K402 C404 E404 G404 I404 K404 C406 E406 G406 I406 K406 C408 E408 G408 I408 K408 C410 E410 G410 I410 K410 C412 E412 G412 I412 K412 C414 E414 G414 I414 K414 C416 E416 G416 I416 K416 C418 E418 G418 I418 K418 C420 E420 G420 I420 K420 C422 E422 G422 I422 K422 E424 G424 I424 K424 C426 E426 G426 I426 K426 C428 E428 G428 I428 K428 C430 E430 G430 I430 K430 E432 G432 I432 K432 E434 G434 I434 K434 C436 E436 G436 I436 K436 C438 E438 G438 I438 K438 C440 E440 G440 I440 K440 C442 E442 G442 I442 K442 C444 E444 G444 I444 K444 C446 E446 G446 I446 K446 C448 E448 G448 I448 K448 C450 E450 G450 I450 K450 C452 E452 G452 I452 K452 C454 E454 G454 I454 K454 C456 E456 G456 I456 K456 C458 E458 G458 I458 K458 C460 E460 G460 I460 K460 C462 E462 G462 I462 K462 C464 E464 G464 I464 K464 C466 E466 G466 I466 K466 C468 E468 G468 I468 K468 C470 E470 G470 I470 K470 C472 E472 G472 I472 K472 C474 E474 G474 I474 K474 C476 E476 G476 I476 K476 C478 E478 G478 I478 K478 C480 E480 G480 I480 K480 C482 E482 G482 I482 K482 C484 E484 G484 I484 K484 C486 E486 G486 I486 K486 C488 E488 G488 I488 K488 C490 E490 G490 I490 K490 C492 E492 G492 I492 K492 C494 E494 G494 I494 K494 C496 E496 G496 I496 K496 C498 E498 G498 I498 K498 C500 E500 G500 I500 K500 C502 E502 G502 I502 K502 C504 E504 G504 I504 K504 C506 E506 G506 I506 K506 C508 E508 G508 I508 K508 C510 E510 G510 I510 K510 C512 E512 G512 I512 K512 C514 E514 G514 I514 K514 C516 E516 G516 I516 K516 C518 E518 G518 I518 K518 C520 E520 G520 I520 K520 C522 E522 G522 I522 K522 C524 E524 G524 I524 K524 C526 E526 G526 I526 K526 C528 E528 G528 I528 K528 C530 E530 G530 I530 K530 C532 E532 G532 I532 K532 C534 E534 G534 I534 K534 C536 E536 G536 I536 K536 C538 E538 G538 I538 K538 C540 E540 G540 I540 K540 C542 E542 G542 I542 K542 C544 E544 G544 I544 K544 C546 E546 G546 I546 K546 C548 E548 G548 I548 K548 C550 E550 G550 I550 K550 C552 E552 G552 I552 K552 C554 E554 G554 I554 K554 C556 E556 G556 I556 K556 C558 E558 G558 I558 K558 C560 E560 G560 I560 K560 C562 E562 G562 I562 K562 C564 E564 G564 I564 K564 C566 E566 G566 I566 K566 C568 E568 G568 I568 K568 C570 E570 G570 I570 K570 C572 E572 G572 I572 K572 C574 E574 G574 I574 K574 C576 E576 G576 I576 K576 C578 E578 G578 I578 K578 C580 E580 G580 I580 K580 C582 E582 G582 I582 K582 C584 E584 G584 I584 K584 C586 E586 G586 I586 K586 C588 E588 G588 I588 K588 C590 E590 G590 I590 K590 C592 E592 G592 I592 K592 C594 E594 G594 I594 K594 C596 E596 G596 I596 K596 C598 E598 G598 I598 K598 C600 E600 G600 I600 K600 C602 E602 G602 I602 K602">
      <formula1>'Lista głosicieli'!$A:$A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75"/>
    <col customWidth="1" min="3" max="3" width="19.13"/>
    <col customWidth="1" min="4" max="4" width="18.88"/>
    <col customWidth="1" min="5" max="5" width="139.13"/>
  </cols>
  <sheetData>
    <row r="1">
      <c r="A1" s="55" t="s">
        <v>91</v>
      </c>
      <c r="B1" s="56" t="s">
        <v>134</v>
      </c>
      <c r="C1" s="56" t="s">
        <v>135</v>
      </c>
      <c r="D1" s="56" t="s">
        <v>136</v>
      </c>
      <c r="E1" s="56" t="s">
        <v>137</v>
      </c>
    </row>
    <row r="2">
      <c r="A2" s="57">
        <v>1.0</v>
      </c>
      <c r="B2" s="58" t="str">
        <f>IFERROR(__xludf.DUMMYFUNCTION("IF(
  OR(C2=""Zajęte"", C2=""Spóźnione""),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2" s="59" t="str">
        <f t="array" ref="C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 s="60">
        <f t="array" ref="D2">IFERROR(
  IF(
    ISBLANK(INDEX(Zestawienie!B:B, MATCH(A2, Zestawienie!A:A, 0))),
    "",
    IF(C2="Wolne",
      IF(
        OR(
          ISBLANK(INDEX(Zestawienie!B:B, MATCH(A2, Zestawienie!A:A, 0))),
          NOT(ISNUMBER(INDEX(Zestawienie!B:B, MATCH(A2, Zestawienie!A:A, 0))))
        ),
        "",
        TODAY()-INDEX(Zestawienie!B:B, MATCH(A2, Zestawienie!A:A, 0))
      ),
      IF(OR(C2="Zajęte", C2="Spóźnione"),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93</v>
      </c>
      <c r="E2" s="61"/>
    </row>
    <row r="3">
      <c r="A3" s="57">
        <v>2.0</v>
      </c>
      <c r="B3" s="58" t="str">
        <f>IFERROR(__xludf.DUMMYFUNCTION("IF(
  OR(C3=""Zajęte"", C3=""Spóźnione""),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3" s="59" t="str">
        <f t="array" ref="C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 s="60">
        <f t="array" ref="D3">IFERROR(
  IF(
    ISBLANK(INDEX(Zestawienie!B:B, MATCH(A3, Zestawienie!A:A, 0))),
    "",
    IF(C3="Wolne",
      IF(
        OR(
          ISBLANK(INDEX(Zestawienie!B:B, MATCH(A3, Zestawienie!A:A, 0))),
          NOT(ISNUMBER(INDEX(Zestawienie!B:B, MATCH(A3, Zestawienie!A:A, 0))))
        ),
        "",
        TODAY()-INDEX(Zestawienie!B:B, MATCH(A3, Zestawienie!A:A, 0))
      ),
      IF(OR(C3="Zajęte", C3="Spóźnione"),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149</v>
      </c>
      <c r="E3" s="61"/>
    </row>
    <row r="4">
      <c r="A4" s="57">
        <v>3.0</v>
      </c>
      <c r="B4" s="58" t="str">
        <f>IFERROR(__xludf.DUMMYFUNCTION("IF(
  OR(C4=""Zajęte"", C4=""Spóźnione""),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4" s="59" t="str">
        <f t="array" ref="C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4" s="60">
        <f t="array" ref="D4">IFERROR(
  IF(
    ISBLANK(INDEX(Zestawienie!B:B, MATCH(A4, Zestawienie!A:A, 0))),
    "",
    IF(C4="Wolne",
      IF(
        OR(
          ISBLANK(INDEX(Zestawienie!B:B, MATCH(A4, Zestawienie!A:A, 0))),
          NOT(ISNUMBER(INDEX(Zestawienie!B:B, MATCH(A4, Zestawienie!A:A, 0))))
        ),
        "",
        TODAY()-INDEX(Zestawienie!B:B, MATCH(A4, Zestawienie!A:A, 0))
      ),
      IF(OR(C4="Zajęte", C4="Spóźnione"),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197</v>
      </c>
      <c r="E4" s="61"/>
    </row>
    <row r="5">
      <c r="A5" s="57">
        <v>4.0</v>
      </c>
      <c r="B5" s="58" t="str">
        <f>IFERROR(__xludf.DUMMYFUNCTION("IF(
  OR(C5=""Zajęte"", C5=""Spóźnione""),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5" s="59" t="str">
        <f t="array" ref="C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5" s="60">
        <f t="array" ref="D5">IFERROR(
  IF(
    ISBLANK(INDEX(Zestawienie!B:B, MATCH(A5, Zestawienie!A:A, 0))),
    "",
    IF(C5="Wolne",
      IF(
        OR(
          ISBLANK(INDEX(Zestawienie!B:B, MATCH(A5, Zestawienie!A:A, 0))),
          NOT(ISNUMBER(INDEX(Zestawienie!B:B, MATCH(A5, Zestawienie!A:A, 0))))
        ),
        "",
        TODAY()-INDEX(Zestawienie!B:B, MATCH(A5, Zestawienie!A:A, 0))
      ),
      IF(OR(C5="Zajęte", C5="Spóźnione"),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58</v>
      </c>
      <c r="E5" s="61"/>
    </row>
    <row r="6">
      <c r="A6" s="57">
        <v>5.0</v>
      </c>
      <c r="B6" s="58" t="str">
        <f>IFERROR(__xludf.DUMMYFUNCTION("IF(
  OR(C6=""Zajęte"", C6=""Spóźnione""),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6" s="59" t="str">
        <f t="array" ref="C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6" s="60">
        <f t="array" ref="D6">IFERROR(
  IF(
    ISBLANK(INDEX(Zestawienie!B:B, MATCH(A6, Zestawienie!A:A, 0))),
    "",
    IF(C6="Wolne",
      IF(
        OR(
          ISBLANK(INDEX(Zestawienie!B:B, MATCH(A6, Zestawienie!A:A, 0))),
          NOT(ISNUMBER(INDEX(Zestawienie!B:B, MATCH(A6, Zestawienie!A:A, 0))))
        ),
        "",
        TODAY()-INDEX(Zestawienie!B:B, MATCH(A6, Zestawienie!A:A, 0))
      ),
      IF(OR(C6="Zajęte", C6="Spóźnione"),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198</v>
      </c>
      <c r="E6" s="61"/>
    </row>
    <row r="7">
      <c r="A7" s="57">
        <v>6.0</v>
      </c>
      <c r="B7" s="58" t="str">
        <f>IFERROR(__xludf.DUMMYFUNCTION("IF(
  OR(C7=""Zajęte"", C7=""Spóźnione""),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7" s="59" t="str">
        <f t="array" ref="C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7" s="60">
        <f t="array" ref="D7">IFERROR(
  IF(
    ISBLANK(INDEX(Zestawienie!B:B, MATCH(A7, Zestawienie!A:A, 0))),
    "",
    IF(C7="Wolne",
      IF(
        OR(
          ISBLANK(INDEX(Zestawienie!B:B, MATCH(A7, Zestawienie!A:A, 0))),
          NOT(ISNUMBER(INDEX(Zestawienie!B:B, MATCH(A7, Zestawienie!A:A, 0))))
        ),
        "",
        TODAY()-INDEX(Zestawienie!B:B, MATCH(A7, Zestawienie!A:A, 0))
      ),
      IF(OR(C7="Zajęte", C7="Spóźnione"),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288</v>
      </c>
      <c r="E7" s="61"/>
    </row>
    <row r="8">
      <c r="A8" s="57">
        <v>7.0</v>
      </c>
      <c r="B8" s="58" t="str">
        <f>IFERROR(__xludf.DUMMYFUNCTION("IF(
  OR(C8=""Zajęte"", C8=""Spóźnione""),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8" s="59" t="str">
        <f t="array" ref="C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 s="60">
        <f t="array" ref="D8">IFERROR(
  IF(
    ISBLANK(INDEX(Zestawienie!B:B, MATCH(A8, Zestawienie!A:A, 0))),
    "",
    IF(C8="Wolne",
      IF(
        OR(
          ISBLANK(INDEX(Zestawienie!B:B, MATCH(A8, Zestawienie!A:A, 0))),
          NOT(ISNUMBER(INDEX(Zestawienie!B:B, MATCH(A8, Zestawienie!A:A, 0))))
        ),
        "",
        TODAY()-INDEX(Zestawienie!B:B, MATCH(A8, Zestawienie!A:A, 0))
      ),
      IF(OR(C8="Zajęte", C8="Spóźnione"),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158</v>
      </c>
      <c r="E8" s="61"/>
    </row>
    <row r="9">
      <c r="A9" s="57">
        <v>8.0</v>
      </c>
      <c r="B9" s="58" t="str">
        <f>IFERROR(__xludf.DUMMYFUNCTION("IF(
  OR(C9=""Zajęte"", C9=""Spóźnione""),
  IFERROR(
    INDEX(
      FILTER(
        {
          INDEX(Zestawienie!K:K, ROW()*2);
          INDEX(Zestawienie!I:I, ROW()*2);
          INDEX(Zestawienie!G:G, ROW()*2);
          INDEX(Zestawienie!E:E, ROW("&amp;")*2);
          INDEX(Zestawienie!C:C, ROW()*2)
        },
        {
          INDEX(Zestawienie!K:K, ROW()*2)&lt;&gt;"""" ;
          INDEX(Zestawienie!I:I, ROW()*2)&lt;&gt;"""" ;
          INDEX(Zestawienie!G:G, ROW()*2)&lt;&gt;"""" ;
          INDEX(Zestawienie!E:E, ROW"&amp;"()*2)&lt;&gt;"""" ;
          INDEX(Zestawienie!C:C, ROW()*2)&lt;&gt;""""
        }
      ),
      1
    ),
    """"
  ),
  """"
)
"),"")</f>
        <v/>
      </c>
      <c r="C9" s="59" t="str">
        <f t="array" ref="C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 s="60">
        <f t="array" ref="D9">IFERROR(
  IF(
    ISBLANK(INDEX(Zestawienie!B:B, MATCH(A9, Zestawienie!A:A, 0))),
    "",
    IF(C9="Wolne",
      IF(
        OR(
          ISBLANK(INDEX(Zestawienie!B:B, MATCH(A9, Zestawienie!A:A, 0))),
          NOT(ISNUMBER(INDEX(Zestawienie!B:B, MATCH(A9, Zestawienie!A:A, 0))))
        ),
        "",
        TODAY()-INDEX(Zestawienie!B:B, MATCH(A9, Zestawienie!A:A, 0))
      ),
      IF(OR(C9="Zajęte", C9="Spóźnione"),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255</v>
      </c>
      <c r="E9" s="61"/>
    </row>
    <row r="10">
      <c r="A10" s="57">
        <v>9.0</v>
      </c>
      <c r="B10" s="58" t="str">
        <f>IFERROR(__xludf.DUMMYFUNCTION("IF(
  OR(C10=""Zajęte"", C10=""Spóźnione""),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0" s="59" t="str">
        <f t="array" ref="C1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 s="60">
        <f t="array" ref="D10">IFERROR(
  IF(
    ISBLANK(INDEX(Zestawienie!B:B, MATCH(A10, Zestawienie!A:A, 0))),
    "",
    IF(C10="Wolne",
      IF(
        OR(
          ISBLANK(INDEX(Zestawienie!B:B, MATCH(A10, Zestawienie!A:A, 0))),
          NOT(ISNUMBER(INDEX(Zestawienie!B:B, MATCH(A10, Zestawienie!A:A, 0))))
        ),
        "",
        TODAY()-INDEX(Zestawienie!B:B, MATCH(A10, Zestawienie!A:A, 0))
      ),
      IF(OR(C10="Zajęte", C10="Spóźnione"),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95</v>
      </c>
      <c r="E10" s="61"/>
    </row>
    <row r="11">
      <c r="A11" s="57">
        <v>10.0</v>
      </c>
      <c r="B11" s="58" t="str">
        <f>IFERROR(__xludf.DUMMYFUNCTION("IF(
  OR(C11=""Zajęte"", C11=""Spóźnione""),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1" s="59" t="str">
        <f t="array" ref="C1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 s="60">
        <f t="array" ref="D11">IFERROR(
  IF(
    ISBLANK(INDEX(Zestawienie!B:B, MATCH(A11, Zestawienie!A:A, 0))),
    "",
    IF(C11="Wolne",
      IF(
        OR(
          ISBLANK(INDEX(Zestawienie!B:B, MATCH(A11, Zestawienie!A:A, 0))),
          NOT(ISNUMBER(INDEX(Zestawienie!B:B, MATCH(A11, Zestawienie!A:A, 0))))
        ),
        "",
        TODAY()-INDEX(Zestawienie!B:B, MATCH(A11, Zestawienie!A:A, 0))
      ),
      IF(OR(C11="Zajęte", C11="Spóźnione"),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93</v>
      </c>
      <c r="E11" s="61"/>
    </row>
    <row r="12">
      <c r="A12" s="57">
        <v>11.0</v>
      </c>
      <c r="B12" s="58" t="str">
        <f>IFERROR(__xludf.DUMMYFUNCTION("IF(
  OR(C12=""Zajęte"", C12=""Spóźnione""),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2" s="59" t="str">
        <f t="array" ref="C1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 s="60">
        <f t="array" ref="D12">IFERROR(
  IF(
    ISBLANK(INDEX(Zestawienie!B:B, MATCH(A12, Zestawienie!A:A, 0))),
    "",
    IF(C12="Wolne",
      IF(
        OR(
          ISBLANK(INDEX(Zestawienie!B:B, MATCH(A12, Zestawienie!A:A, 0))),
          NOT(ISNUMBER(INDEX(Zestawienie!B:B, MATCH(A12, Zestawienie!A:A, 0))))
        ),
        "",
        TODAY()-INDEX(Zestawienie!B:B, MATCH(A12, Zestawienie!A:A, 0))
      ),
      IF(OR(C12="Zajęte", C12="Spóźnione"),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92</v>
      </c>
      <c r="E12" s="61"/>
    </row>
    <row r="13">
      <c r="A13" s="57">
        <v>12.0</v>
      </c>
      <c r="B13" s="58" t="str">
        <f>IFERROR(__xludf.DUMMYFUNCTION("IF(
  OR(C13=""Zajęte"", C13=""Spóźnione""),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"),"Migrała Wioletta")</f>
        <v>Migrała Wioletta</v>
      </c>
      <c r="C13" s="59" t="str">
        <f t="array" ref="C1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13" s="60">
        <f t="array" ref="D13">IFERROR(
  IF(
    ISBLANK(INDEX(Zestawienie!B:B, MATCH(A13, Zestawienie!A:A, 0))),
    "",
    IF(C13="Wolne",
      IF(
        OR(
          ISBLANK(INDEX(Zestawienie!B:B, MATCH(A13, Zestawienie!A:A, 0))),
          NOT(ISNUMBER(INDEX(Zestawienie!B:B, MATCH(A13, Zestawienie!A:A, 0))))
        ),
        "",
        TODAY()-INDEX(Zestawienie!B:B, MATCH(A13, Zestawienie!A:A, 0))
      ),
      IF(OR(C13="Zajęte", C13="Spóźnione"),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26</v>
      </c>
      <c r="E13" s="61"/>
    </row>
    <row r="14">
      <c r="A14" s="57">
        <v>13.0</v>
      </c>
      <c r="B14" s="58" t="str">
        <f>IFERROR(__xludf.DUMMYFUNCTION("IF(
  OR(C14=""Zajęte"", C14=""Spóźnione""),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4" s="59" t="str">
        <f t="array" ref="C1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 s="60">
        <f t="array" ref="D14">IFERROR(
  IF(
    ISBLANK(INDEX(Zestawienie!B:B, MATCH(A14, Zestawienie!A:A, 0))),
    "",
    IF(C14="Wolne",
      IF(
        OR(
          ISBLANK(INDEX(Zestawienie!B:B, MATCH(A14, Zestawienie!A:A, 0))),
          NOT(ISNUMBER(INDEX(Zestawienie!B:B, MATCH(A14, Zestawienie!A:A, 0))))
        ),
        "",
        TODAY()-INDEX(Zestawienie!B:B, MATCH(A14, Zestawienie!A:A, 0))
      ),
      IF(OR(C14="Zajęte", C14="Spóźnione"),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104</v>
      </c>
      <c r="E14" s="61"/>
    </row>
    <row r="15">
      <c r="A15" s="57">
        <v>14.0</v>
      </c>
      <c r="B15" s="58" t="str">
        <f>IFERROR(__xludf.DUMMYFUNCTION("IF(
  OR(C15=""Zajęte"", C15=""Spóźnione""),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5" s="59" t="str">
        <f t="array" ref="C1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 s="60">
        <f t="array" ref="D15">IFERROR(
  IF(
    ISBLANK(INDEX(Zestawienie!B:B, MATCH(A15, Zestawienie!A:A, 0))),
    "",
    IF(C15="Wolne",
      IF(
        OR(
          ISBLANK(INDEX(Zestawienie!B:B, MATCH(A15, Zestawienie!A:A, 0))),
          NOT(ISNUMBER(INDEX(Zestawienie!B:B, MATCH(A15, Zestawienie!A:A, 0))))
        ),
        "",
        TODAY()-INDEX(Zestawienie!B:B, MATCH(A15, Zestawienie!A:A, 0))
      ),
      IF(OR(C15="Zajęte", C15="Spóźnione"),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93</v>
      </c>
      <c r="E15" s="61"/>
    </row>
    <row r="16">
      <c r="A16" s="57">
        <v>15.0</v>
      </c>
      <c r="B16" s="58" t="str">
        <f>IFERROR(__xludf.DUMMYFUNCTION("IF(
  OR(C16=""Zajęte"", C16=""Spóźnione""),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6" s="59" t="str">
        <f t="array" ref="C1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 s="60">
        <f t="array" ref="D16">IFERROR(
  IF(
    ISBLANK(INDEX(Zestawienie!B:B, MATCH(A16, Zestawienie!A:A, 0))),
    "",
    IF(C16="Wolne",
      IF(
        OR(
          ISBLANK(INDEX(Zestawienie!B:B, MATCH(A16, Zestawienie!A:A, 0))),
          NOT(ISNUMBER(INDEX(Zestawienie!B:B, MATCH(A16, Zestawienie!A:A, 0))))
        ),
        "",
        TODAY()-INDEX(Zestawienie!B:B, MATCH(A16, Zestawienie!A:A, 0))
      ),
      IF(OR(C16="Zajęte", C16="Spóźnione"),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208</v>
      </c>
      <c r="E16" s="61"/>
    </row>
    <row r="17">
      <c r="A17" s="57">
        <v>16.0</v>
      </c>
      <c r="B17" s="58" t="str">
        <f>IFERROR(__xludf.DUMMYFUNCTION("IF(
  OR(C17=""Zajęte"", C17=""Spóźnione""),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7" s="59" t="str">
        <f t="array" ref="C1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 s="60">
        <f t="array" ref="D17">IFERROR(
  IF(
    ISBLANK(INDEX(Zestawienie!B:B, MATCH(A17, Zestawienie!A:A, 0))),
    "",
    IF(C17="Wolne",
      IF(
        OR(
          ISBLANK(INDEX(Zestawienie!B:B, MATCH(A17, Zestawienie!A:A, 0))),
          NOT(ISNUMBER(INDEX(Zestawienie!B:B, MATCH(A17, Zestawienie!A:A, 0))))
        ),
        "",
        TODAY()-INDEX(Zestawienie!B:B, MATCH(A17, Zestawienie!A:A, 0))
      ),
      IF(OR(C17="Zajęte", C17="Spóźnione"),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130</v>
      </c>
      <c r="E17" s="61"/>
    </row>
    <row r="18">
      <c r="A18" s="57">
        <v>17.0</v>
      </c>
      <c r="B18" s="58" t="str">
        <f>IFERROR(__xludf.DUMMYFUNCTION("IF(
  OR(C18=""Zajęte"", C18=""Spóźnione""),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18" s="59" t="str">
        <f t="array" ref="C1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 s="60">
        <f t="array" ref="D18">IFERROR(
  IF(
    ISBLANK(INDEX(Zestawienie!B:B, MATCH(A18, Zestawienie!A:A, 0))),
    "",
    IF(C18="Wolne",
      IF(
        OR(
          ISBLANK(INDEX(Zestawienie!B:B, MATCH(A18, Zestawienie!A:A, 0))),
          NOT(ISNUMBER(INDEX(Zestawienie!B:B, MATCH(A18, Zestawienie!A:A, 0))))
        ),
        "",
        TODAY()-INDEX(Zestawienie!B:B, MATCH(A18, Zestawienie!A:A, 0))
      ),
      IF(OR(C18="Zajęte", C18="Spóźnione"),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148</v>
      </c>
      <c r="E18" s="61"/>
    </row>
    <row r="19">
      <c r="A19" s="57">
        <v>18.0</v>
      </c>
      <c r="B19" s="58" t="str">
        <f>IFERROR(__xludf.DUMMYFUNCTION("IF(
  OR(C19=""Zajęte"", C19=""Spóźnione""),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"),"Grabowska Lidia")</f>
        <v>Grabowska Lidia</v>
      </c>
      <c r="C19" s="59" t="str">
        <f t="array" ref="C1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19" s="60">
        <f t="array" ref="D19">IFERROR(
  IF(
    ISBLANK(INDEX(Zestawienie!B:B, MATCH(A19, Zestawienie!A:A, 0))),
    "",
    IF(C19="Wolne",
      IF(
        OR(
          ISBLANK(INDEX(Zestawienie!B:B, MATCH(A19, Zestawienie!A:A, 0))),
          NOT(ISNUMBER(INDEX(Zestawienie!B:B, MATCH(A19, Zestawienie!A:A, 0))))
        ),
        "",
        TODAY()-INDEX(Zestawienie!B:B, MATCH(A19, Zestawienie!A:A, 0))
      ),
      IF(OR(C19="Zajęte", C19="Spóźnione"),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383</v>
      </c>
      <c r="E19" s="61"/>
    </row>
    <row r="20">
      <c r="A20" s="57">
        <v>19.0</v>
      </c>
      <c r="B20" s="58" t="str">
        <f>IFERROR(__xludf.DUMMYFUNCTION("IF(
  OR(C20=""Zajęte"", C20=""Spóźnione""),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"),"Wojewódzki Kamil")</f>
        <v>Wojewódzki Kamil</v>
      </c>
      <c r="C20" s="59" t="str">
        <f t="array" ref="C2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20" s="60">
        <f t="array" ref="D20">IFERROR(
  IF(
    ISBLANK(INDEX(Zestawienie!B:B, MATCH(A20, Zestawienie!A:A, 0))),
    "",
    IF(C20="Wolne",
      IF(
        OR(
          ISBLANK(INDEX(Zestawienie!B:B, MATCH(A20, Zestawienie!A:A, 0))),
          NOT(ISNUMBER(INDEX(Zestawienie!B:B, MATCH(A20, Zestawienie!A:A, 0))))
        ),
        "",
        TODAY()-INDEX(Zestawienie!B:B, MATCH(A20, Zestawienie!A:A, 0))
      ),
      IF(OR(C20="Zajęte", C20="Spóźnione"),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v>
      </c>
      <c r="E20" s="61"/>
    </row>
    <row r="21">
      <c r="A21" s="57">
        <v>20.0</v>
      </c>
      <c r="B21" s="58" t="str">
        <f>IFERROR(__xludf.DUMMYFUNCTION("IF(
  OR(C21=""Zajęte"", C21=""Spóźnione""),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1" s="59" t="str">
        <f t="array" ref="C2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1" s="60">
        <f t="array" ref="D21">IFERROR(
  IF(
    ISBLANK(INDEX(Zestawienie!B:B, MATCH(A21, Zestawienie!A:A, 0))),
    "",
    IF(C21="Wolne",
      IF(
        OR(
          ISBLANK(INDEX(Zestawienie!B:B, MATCH(A21, Zestawienie!A:A, 0))),
          NOT(ISNUMBER(INDEX(Zestawienie!B:B, MATCH(A21, Zestawienie!A:A, 0))))
        ),
        "",
        TODAY()-INDEX(Zestawienie!B:B, MATCH(A21, Zestawienie!A:A, 0))
      ),
      IF(OR(C21="Zajęte", C21="Spóźnione"),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158</v>
      </c>
      <c r="E21" s="61"/>
    </row>
    <row r="22">
      <c r="A22" s="57">
        <v>21.0</v>
      </c>
      <c r="B22" s="58" t="str">
        <f>IFERROR(__xludf.DUMMYFUNCTION("IF(
  OR(C22=""Zajęte"", C22=""Spóźnione""),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2" s="59" t="str">
        <f t="array" ref="C2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2" s="60">
        <f t="array" ref="D22">IFERROR(
  IF(
    ISBLANK(INDEX(Zestawienie!B:B, MATCH(A22, Zestawienie!A:A, 0))),
    "",
    IF(C22="Wolne",
      IF(
        OR(
          ISBLANK(INDEX(Zestawienie!B:B, MATCH(A22, Zestawienie!A:A, 0))),
          NOT(ISNUMBER(INDEX(Zestawienie!B:B, MATCH(A22, Zestawienie!A:A, 0))))
        ),
        "",
        TODAY()-INDEX(Zestawienie!B:B, MATCH(A22, Zestawienie!A:A, 0))
      ),
      IF(OR(C22="Zajęte", C22="Spóźnione"),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22" s="61"/>
    </row>
    <row r="23">
      <c r="A23" s="57">
        <v>22.0</v>
      </c>
      <c r="B23" s="58" t="str">
        <f>IFERROR(__xludf.DUMMYFUNCTION("IF(
  OR(C23=""Zajęte"", C23=""Spóźnione""),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3" s="59" t="str">
        <f t="array" ref="C2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 s="60">
        <f t="array" ref="D23">IFERROR(
  IF(
    ISBLANK(INDEX(Zestawienie!B:B, MATCH(A23, Zestawienie!A:A, 0))),
    "",
    IF(C23="Wolne",
      IF(
        OR(
          ISBLANK(INDEX(Zestawienie!B:B, MATCH(A23, Zestawienie!A:A, 0))),
          NOT(ISNUMBER(INDEX(Zestawienie!B:B, MATCH(A23, Zestawienie!A:A, 0))))
        ),
        "",
        TODAY()-INDEX(Zestawienie!B:B, MATCH(A23, Zestawienie!A:A, 0))
      ),
      IF(OR(C23="Zajęte", C23="Spóźnione"),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157</v>
      </c>
      <c r="E23" s="62"/>
    </row>
    <row r="24">
      <c r="A24" s="57">
        <v>23.0</v>
      </c>
      <c r="B24" s="58" t="str">
        <f>IFERROR(__xludf.DUMMYFUNCTION("IF(
  OR(C24=""Zajęte"", C24=""Spóźnione""),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4" s="59" t="str">
        <f t="array" ref="C2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 s="60">
        <f t="array" ref="D24">IFERROR(
  IF(
    ISBLANK(INDEX(Zestawienie!B:B, MATCH(A24, Zestawienie!A:A, 0))),
    "",
    IF(C24="Wolne",
      IF(
        OR(
          ISBLANK(INDEX(Zestawienie!B:B, MATCH(A24, Zestawienie!A:A, 0))),
          NOT(ISNUMBER(INDEX(Zestawienie!B:B, MATCH(A24, Zestawienie!A:A, 0))))
        ),
        "",
        TODAY()-INDEX(Zestawienie!B:B, MATCH(A24, Zestawienie!A:A, 0))
      ),
      IF(OR(C24="Zajęte", C24="Spóźnione"),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24" s="62"/>
    </row>
    <row r="25">
      <c r="A25" s="57">
        <v>24.0</v>
      </c>
      <c r="B25" s="58" t="str">
        <f>IFERROR(__xludf.DUMMYFUNCTION("IF(
  OR(C25=""Zajęte"", C25=""Spóźnione""),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5" s="59" t="str">
        <f t="array" ref="C2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 s="60">
        <f t="array" ref="D25">IFERROR(
  IF(
    ISBLANK(INDEX(Zestawienie!B:B, MATCH(A25, Zestawienie!A:A, 0))),
    "",
    IF(C25="Wolne",
      IF(
        OR(
          ISBLANK(INDEX(Zestawienie!B:B, MATCH(A25, Zestawienie!A:A, 0))),
          NOT(ISNUMBER(INDEX(Zestawienie!B:B, MATCH(A25, Zestawienie!A:A, 0))))
        ),
        "",
        TODAY()-INDEX(Zestawienie!B:B, MATCH(A25, Zestawienie!A:A, 0))
      ),
      IF(OR(C25="Zajęte", C25="Spóźnione"),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64</v>
      </c>
      <c r="E25" s="62"/>
    </row>
    <row r="26">
      <c r="A26" s="57">
        <v>25.0</v>
      </c>
      <c r="B26" s="58" t="str">
        <f>IFERROR(__xludf.DUMMYFUNCTION("IF(
  OR(C26=""Zajęte"", C26=""Spóźnione""),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6" s="59" t="str">
        <f t="array" ref="C2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 s="60">
        <f t="array" ref="D26">IFERROR(
  IF(
    ISBLANK(INDEX(Zestawienie!B:B, MATCH(A26, Zestawienie!A:A, 0))),
    "",
    IF(C26="Wolne",
      IF(
        OR(
          ISBLANK(INDEX(Zestawienie!B:B, MATCH(A26, Zestawienie!A:A, 0))),
          NOT(ISNUMBER(INDEX(Zestawienie!B:B, MATCH(A26, Zestawienie!A:A, 0))))
        ),
        "",
        TODAY()-INDEX(Zestawienie!B:B, MATCH(A26, Zestawienie!A:A, 0))
      ),
      IF(OR(C26="Zajęte", C26="Spóźnione"),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92</v>
      </c>
      <c r="E26" s="62"/>
    </row>
    <row r="27">
      <c r="A27" s="57">
        <v>26.0</v>
      </c>
      <c r="B27" s="58" t="str">
        <f>IFERROR(__xludf.DUMMYFUNCTION("IF(
  OR(C27=""Zajęte"", C27=""Spóźnione""),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"),"Fabczak Oliwia")</f>
        <v>Fabczak Oliwia</v>
      </c>
      <c r="C27" s="59" t="str">
        <f t="array" ref="C2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7" s="60">
        <f t="array" ref="D27">IFERROR(
  IF(
    ISBLANK(INDEX(Zestawienie!B:B, MATCH(A27, Zestawienie!A:A, 0))),
    "",
    IF(C27="Wolne",
      IF(
        OR(
          ISBLANK(INDEX(Zestawienie!B:B, MATCH(A27, Zestawienie!A:A, 0))),
          NOT(ISNUMBER(INDEX(Zestawienie!B:B, MATCH(A27, Zestawienie!A:A, 0))))
        ),
        "",
        TODAY()-INDEX(Zestawienie!B:B, MATCH(A27, Zestawienie!A:A, 0))
      ),
      IF(OR(C27="Zajęte", C27="Spóźnione"),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v>
      </c>
      <c r="E27" s="62"/>
    </row>
    <row r="28">
      <c r="A28" s="57">
        <v>27.0</v>
      </c>
      <c r="B28" s="58" t="str">
        <f>IFERROR(__xludf.DUMMYFUNCTION("IF(
  OR(C28=""Zajęte"", C28=""Spóźnione""),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8" s="59" t="str">
        <f t="array" ref="C2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 s="60">
        <f t="array" ref="D28">IFERROR(
  IF(
    ISBLANK(INDEX(Zestawienie!B:B, MATCH(A28, Zestawienie!A:A, 0))),
    "",
    IF(C28="Wolne",
      IF(
        OR(
          ISBLANK(INDEX(Zestawienie!B:B, MATCH(A28, Zestawienie!A:A, 0))),
          NOT(ISNUMBER(INDEX(Zestawienie!B:B, MATCH(A28, Zestawienie!A:A, 0))))
        ),
        "",
        TODAY()-INDEX(Zestawienie!B:B, MATCH(A28, Zestawienie!A:A, 0))
      ),
      IF(OR(C28="Zajęte", C28="Spóźnione"),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99</v>
      </c>
      <c r="E28" s="62"/>
    </row>
    <row r="29">
      <c r="A29" s="57">
        <v>28.0</v>
      </c>
      <c r="B29" s="58" t="str">
        <f>IFERROR(__xludf.DUMMYFUNCTION("IF(
  OR(C29=""Zajęte"", C29=""Spóźnione""),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29" s="59" t="str">
        <f t="array" ref="C2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 s="60">
        <f t="array" ref="D29">IFERROR(
  IF(
    ISBLANK(INDEX(Zestawienie!B:B, MATCH(A29, Zestawienie!A:A, 0))),
    "",
    IF(C29="Wolne",
      IF(
        OR(
          ISBLANK(INDEX(Zestawienie!B:B, MATCH(A29, Zestawienie!A:A, 0))),
          NOT(ISNUMBER(INDEX(Zestawienie!B:B, MATCH(A29, Zestawienie!A:A, 0))))
        ),
        "",
        TODAY()-INDEX(Zestawienie!B:B, MATCH(A29, Zestawienie!A:A, 0))
      ),
      IF(OR(C29="Zajęte", C29="Spóźnione"),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29" s="62"/>
    </row>
    <row r="30">
      <c r="A30" s="57">
        <v>29.0</v>
      </c>
      <c r="B30" s="58" t="str">
        <f>IFERROR(__xludf.DUMMYFUNCTION("IF(
  OR(C30=""Zajęte"", C30=""Spóźnione""),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30" s="59" t="str">
        <f t="array" ref="C3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0" s="60">
        <f t="array" ref="D30">IFERROR(
  IF(
    ISBLANK(INDEX(Zestawienie!B:B, MATCH(A30, Zestawienie!A:A, 0))),
    "",
    IF(C30="Wolne",
      IF(
        OR(
          ISBLANK(INDEX(Zestawienie!B:B, MATCH(A30, Zestawienie!A:A, 0))),
          NOT(ISNUMBER(INDEX(Zestawienie!B:B, MATCH(A30, Zestawienie!A:A, 0))))
        ),
        "",
        TODAY()-INDEX(Zestawienie!B:B, MATCH(A30, Zestawienie!A:A, 0))
      ),
      IF(OR(C30="Zajęte", C30="Spóźnione"),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93</v>
      </c>
      <c r="E30" s="62"/>
    </row>
    <row r="31">
      <c r="A31" s="57">
        <v>30.0</v>
      </c>
      <c r="B31" s="58" t="str">
        <f>IFERROR(__xludf.DUMMYFUNCTION("IF(
  OR(C31=""Zajęte"", C31=""Spóźnione""),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"),"Geszczyński Tomasz")</f>
        <v>Geszczyński Tomasz</v>
      </c>
      <c r="C31" s="59" t="str">
        <f t="array" ref="C3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31" s="60">
        <f t="array" ref="D31">IFERROR(
  IF(
    ISBLANK(INDEX(Zestawienie!B:B, MATCH(A31, Zestawienie!A:A, 0))),
    "",
    IF(C31="Wolne",
      IF(
        OR(
          ISBLANK(INDEX(Zestawienie!B:B, MATCH(A31, Zestawienie!A:A, 0))),
          NOT(ISNUMBER(INDEX(Zestawienie!B:B, MATCH(A31, Zestawienie!A:A, 0))))
        ),
        "",
        TODAY()-INDEX(Zestawienie!B:B, MATCH(A31, Zestawienie!A:A, 0))
      ),
      IF(OR(C31="Zajęte", C31="Spóźnione"),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v>
      </c>
      <c r="E31" s="62"/>
    </row>
    <row r="32">
      <c r="A32" s="57">
        <v>31.0</v>
      </c>
      <c r="B32" s="58" t="str">
        <f>IFERROR(__xludf.DUMMYFUNCTION("IF(
  OR(C32=""Zajęte"", C32=""Spóźnione""),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32" s="59" t="str">
        <f t="array" ref="C3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2" s="60">
        <f t="array" ref="D32">IFERROR(
  IF(
    ISBLANK(INDEX(Zestawienie!B:B, MATCH(A32, Zestawienie!A:A, 0))),
    "",
    IF(C32="Wolne",
      IF(
        OR(
          ISBLANK(INDEX(Zestawienie!B:B, MATCH(A32, Zestawienie!A:A, 0))),
          NOT(ISNUMBER(INDEX(Zestawienie!B:B, MATCH(A32, Zestawienie!A:A, 0))))
        ),
        "",
        TODAY()-INDEX(Zestawienie!B:B, MATCH(A32, Zestawienie!A:A, 0))
      ),
      IF(OR(C32="Zajęte", C32="Spóźnione"),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149</v>
      </c>
      <c r="E32" s="62"/>
    </row>
    <row r="33">
      <c r="A33" s="57">
        <v>32.0</v>
      </c>
      <c r="B33" s="58" t="str">
        <f>IFERROR(__xludf.DUMMYFUNCTION("IF(
  OR(C33=""Zajęte"", C33=""Spóźnione""),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33" s="59" t="str">
        <f t="array" ref="C3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3" s="60">
        <f t="array" ref="D33">IFERROR(
  IF(
    ISBLANK(INDEX(Zestawienie!B:B, MATCH(A33, Zestawienie!A:A, 0))),
    "",
    IF(C33="Wolne",
      IF(
        OR(
          ISBLANK(INDEX(Zestawienie!B:B, MATCH(A33, Zestawienie!A:A, 0))),
          NOT(ISNUMBER(INDEX(Zestawienie!B:B, MATCH(A33, Zestawienie!A:A, 0))))
        ),
        "",
        TODAY()-INDEX(Zestawienie!B:B, MATCH(A33, Zestawienie!A:A, 0))
      ),
      IF(OR(C33="Zajęte", C33="Spóźnione"),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33" s="62"/>
    </row>
    <row r="34">
      <c r="A34" s="57">
        <v>33.0</v>
      </c>
      <c r="B34" s="58" t="str">
        <f>IFERROR(__xludf.DUMMYFUNCTION("IF(
  OR(C34=""Zajęte"", C34=""Spóźnione""),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34" s="59" t="str">
        <f t="array" ref="C3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4" s="60">
        <f t="array" ref="D34">IFERROR(
  IF(
    ISBLANK(INDEX(Zestawienie!B:B, MATCH(A34, Zestawienie!A:A, 0))),
    "",
    IF(C34="Wolne",
      IF(
        OR(
          ISBLANK(INDEX(Zestawienie!B:B, MATCH(A34, Zestawienie!A:A, 0))),
          NOT(ISNUMBER(INDEX(Zestawienie!B:B, MATCH(A34, Zestawienie!A:A, 0))))
        ),
        "",
        TODAY()-INDEX(Zestawienie!B:B, MATCH(A34, Zestawienie!A:A, 0))
      ),
      IF(OR(C34="Zajęte", C34="Spóźnione"),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34" s="62"/>
    </row>
    <row r="35">
      <c r="A35" s="57">
        <v>34.0</v>
      </c>
      <c r="B35" s="58" t="str">
        <f>IFERROR(__xludf.DUMMYFUNCTION("IF(
  OR(C35=""Zajęte"", C35=""Spóźnione""),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"),"Stolarz Daniel")</f>
        <v>Stolarz Daniel</v>
      </c>
      <c r="C35" s="59" t="str">
        <f t="array" ref="C3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35" s="60">
        <f t="array" ref="D35">IFERROR(
  IF(
    ISBLANK(INDEX(Zestawienie!B:B, MATCH(A35, Zestawienie!A:A, 0))),
    "",
    IF(C35="Wolne",
      IF(
        OR(
          ISBLANK(INDEX(Zestawienie!B:B, MATCH(A35, Zestawienie!A:A, 0))),
          NOT(ISNUMBER(INDEX(Zestawienie!B:B, MATCH(A35, Zestawienie!A:A, 0))))
        ),
        "",
        TODAY()-INDEX(Zestawienie!B:B, MATCH(A35, Zestawienie!A:A, 0))
      ),
      IF(OR(C35="Zajęte", C35="Spóźnione"),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111</v>
      </c>
      <c r="E35" s="62"/>
    </row>
    <row r="36">
      <c r="A36" s="57">
        <v>35.0</v>
      </c>
      <c r="B36" s="58" t="str">
        <f>IFERROR(__xludf.DUMMYFUNCTION("IF(
  OR(C36=""Zajęte"", C36=""Spóźnione""),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36" s="59" t="str">
        <f t="array" ref="C3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6" s="60">
        <f t="array" ref="D36">IFERROR(
  IF(
    ISBLANK(INDEX(Zestawienie!B:B, MATCH(A36, Zestawienie!A:A, 0))),
    "",
    IF(C36="Wolne",
      IF(
        OR(
          ISBLANK(INDEX(Zestawienie!B:B, MATCH(A36, Zestawienie!A:A, 0))),
          NOT(ISNUMBER(INDEX(Zestawienie!B:B, MATCH(A36, Zestawienie!A:A, 0))))
        ),
        "",
        TODAY()-INDEX(Zestawienie!B:B, MATCH(A36, Zestawienie!A:A, 0))
      ),
      IF(OR(C36="Zajęte", C36="Spóźnione"),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36" s="62"/>
    </row>
    <row r="37">
      <c r="A37" s="57">
        <v>36.0</v>
      </c>
      <c r="B37" s="58" t="str">
        <f>IFERROR(__xludf.DUMMYFUNCTION("IF(
  OR(C37=""Zajęte"", C37=""Spóźnione""),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"),"Milewska Anna")</f>
        <v>Milewska Anna</v>
      </c>
      <c r="C37" s="59" t="str">
        <f t="array" ref="C3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37" s="60">
        <f t="array" ref="D37">IFERROR(
  IF(
    ISBLANK(INDEX(Zestawienie!B:B, MATCH(A37, Zestawienie!A:A, 0))),
    "",
    IF(C37="Wolne",
      IF(
        OR(
          ISBLANK(INDEX(Zestawienie!B:B, MATCH(A37, Zestawienie!A:A, 0))),
          NOT(ISNUMBER(INDEX(Zestawienie!B:B, MATCH(A37, Zestawienie!A:A, 0))))
        ),
        "",
        TODAY()-INDEX(Zestawienie!B:B, MATCH(A37, Zestawienie!A:A, 0))
      ),
      IF(OR(C37="Zajęte", C37="Spóźnione"),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v>
      </c>
      <c r="E37" s="62"/>
    </row>
    <row r="38">
      <c r="A38" s="57">
        <v>37.0</v>
      </c>
      <c r="B38" s="58" t="str">
        <f>IFERROR(__xludf.DUMMYFUNCTION("IF(
  OR(C38=""Zajęte"", C38=""Spóźnione""),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"),"Wojewódzki Kamil")</f>
        <v>Wojewódzki Kamil</v>
      </c>
      <c r="C38" s="59" t="str">
        <f t="array" ref="C3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38" s="60">
        <f t="array" ref="D38">IFERROR(
  IF(
    ISBLANK(INDEX(Zestawienie!B:B, MATCH(A38, Zestawienie!A:A, 0))),
    "",
    IF(C38="Wolne",
      IF(
        OR(
          ISBLANK(INDEX(Zestawienie!B:B, MATCH(A38, Zestawienie!A:A, 0))),
          NOT(ISNUMBER(INDEX(Zestawienie!B:B, MATCH(A38, Zestawienie!A:A, 0))))
        ),
        "",
        TODAY()-INDEX(Zestawienie!B:B, MATCH(A38, Zestawienie!A:A, 0))
      ),
      IF(OR(C38="Zajęte", C38="Spóźnione"),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123</v>
      </c>
      <c r="E38" s="62"/>
    </row>
    <row r="39">
      <c r="A39" s="57">
        <v>38.0</v>
      </c>
      <c r="B39" s="58" t="str">
        <f>IFERROR(__xludf.DUMMYFUNCTION("IF(
  OR(C39=""Zajęte"", C39=""Spóźnione""),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39" s="59" t="str">
        <f t="array" ref="C3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9" s="60">
        <f t="array" ref="D39">IFERROR(
  IF(
    ISBLANK(INDEX(Zestawienie!B:B, MATCH(A39, Zestawienie!A:A, 0))),
    "",
    IF(C39="Wolne",
      IF(
        OR(
          ISBLANK(INDEX(Zestawienie!B:B, MATCH(A39, Zestawienie!A:A, 0))),
          NOT(ISNUMBER(INDEX(Zestawienie!B:B, MATCH(A39, Zestawienie!A:A, 0))))
        ),
        "",
        TODAY()-INDEX(Zestawienie!B:B, MATCH(A39, Zestawienie!A:A, 0))
      ),
      IF(OR(C39="Zajęte", C39="Spóźnione"),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137</v>
      </c>
      <c r="E39" s="62"/>
    </row>
    <row r="40">
      <c r="A40" s="57">
        <v>39.0</v>
      </c>
      <c r="B40" s="58" t="str">
        <f>IFERROR(__xludf.DUMMYFUNCTION("IF(
  OR(C40=""Zajęte"", C40=""Spóźnione""),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40" s="59" t="str">
        <f t="array" ref="C4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40" s="60">
        <f t="array" ref="D40">IFERROR(
  IF(
    ISBLANK(INDEX(Zestawienie!B:B, MATCH(A40, Zestawienie!A:A, 0))),
    "",
    IF(C40="Wolne",
      IF(
        OR(
          ISBLANK(INDEX(Zestawienie!B:B, MATCH(A40, Zestawienie!A:A, 0))),
          NOT(ISNUMBER(INDEX(Zestawienie!B:B, MATCH(A40, Zestawienie!A:A, 0))))
        ),
        "",
        TODAY()-INDEX(Zestawienie!B:B, MATCH(A40, Zestawienie!A:A, 0))
      ),
      IF(OR(C40="Zajęte", C40="Spóźnione"),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v>
      </c>
      <c r="E40" s="62"/>
    </row>
    <row r="41">
      <c r="A41" s="57">
        <v>40.0</v>
      </c>
      <c r="B41" s="58" t="str">
        <f>IFERROR(__xludf.DUMMYFUNCTION("IF(
  OR(C41=""Zajęte"", C41=""Spóźnione""),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"),"Szczepanik Jan")</f>
        <v>Szczepanik Jan</v>
      </c>
      <c r="C41" s="59" t="str">
        <f t="array" ref="C4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41" s="60">
        <f t="array" ref="D41">IFERROR(
  IF(
    ISBLANK(INDEX(Zestawienie!B:B, MATCH(A41, Zestawienie!A:A, 0))),
    "",
    IF(C41="Wolne",
      IF(
        OR(
          ISBLANK(INDEX(Zestawienie!B:B, MATCH(A41, Zestawienie!A:A, 0))),
          NOT(ISNUMBER(INDEX(Zestawienie!B:B, MATCH(A41, Zestawienie!A:A, 0))))
        ),
        "",
        TODAY()-INDEX(Zestawienie!B:B, MATCH(A41, Zestawienie!A:A, 0))
      ),
      IF(OR(C41="Zajęte", C41="Spóźnione"),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97</v>
      </c>
      <c r="E41" s="62"/>
    </row>
    <row r="42">
      <c r="A42" s="57">
        <v>41.0</v>
      </c>
      <c r="B42" s="58" t="str">
        <f>IFERROR(__xludf.DUMMYFUNCTION("IF(
  OR(C42=""Zajęte"", C42=""Spóźnione""),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42" s="59" t="str">
        <f t="array" ref="C4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42" s="60">
        <f t="array" ref="D42">IFERROR(
  IF(
    ISBLANK(INDEX(Zestawienie!B:B, MATCH(A42, Zestawienie!A:A, 0))),
    "",
    IF(C42="Wolne",
      IF(
        OR(
          ISBLANK(INDEX(Zestawienie!B:B, MATCH(A42, Zestawienie!A:A, 0))),
          NOT(ISNUMBER(INDEX(Zestawienie!B:B, MATCH(A42, Zestawienie!A:A, 0))))
        ),
        "",
        TODAY()-INDEX(Zestawienie!B:B, MATCH(A42, Zestawienie!A:A, 0))
      ),
      IF(OR(C42="Zajęte", C42="Spóźnione"),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144</v>
      </c>
      <c r="E42" s="62"/>
    </row>
    <row r="43">
      <c r="A43" s="57">
        <v>42.0</v>
      </c>
      <c r="B43" s="58" t="str">
        <f>IFERROR(__xludf.DUMMYFUNCTION("IF(
  OR(C43=""Zajęte"", C43=""Spóźnione""),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"),"Słupski Michał")</f>
        <v>Słupski Michał</v>
      </c>
      <c r="C43" s="59" t="str">
        <f t="array" ref="C4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43" s="60">
        <f t="array" ref="D43">IFERROR(
  IF(
    ISBLANK(INDEX(Zestawienie!B:B, MATCH(A43, Zestawienie!A:A, 0))),
    "",
    IF(C43="Wolne",
      IF(
        OR(
          ISBLANK(INDEX(Zestawienie!B:B, MATCH(A43, Zestawienie!A:A, 0))),
          NOT(ISNUMBER(INDEX(Zestawienie!B:B, MATCH(A43, Zestawienie!A:A, 0))))
        ),
        "",
        TODAY()-INDEX(Zestawienie!B:B, MATCH(A43, Zestawienie!A:A, 0))
      ),
      IF(OR(C43="Zajęte", C43="Spóźnione"),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v>
      </c>
      <c r="E43" s="62"/>
    </row>
    <row r="44">
      <c r="A44" s="57">
        <v>43.0</v>
      </c>
      <c r="B44" s="58" t="str">
        <f>IFERROR(__xludf.DUMMYFUNCTION("IF(
  OR(C44=""Zajęte"", C44=""Spóźnione""),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44" s="59" t="str">
        <f t="array" ref="C4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44" s="60">
        <f t="array" ref="D44">IFERROR(
  IF(
    ISBLANK(INDEX(Zestawienie!B:B, MATCH(A44, Zestawienie!A:A, 0))),
    "",
    IF(C44="Wolne",
      IF(
        OR(
          ISBLANK(INDEX(Zestawienie!B:B, MATCH(A44, Zestawienie!A:A, 0))),
          NOT(ISNUMBER(INDEX(Zestawienie!B:B, MATCH(A44, Zestawienie!A:A, 0))))
        ),
        "",
        TODAY()-INDEX(Zestawienie!B:B, MATCH(A44, Zestawienie!A:A, 0))
      ),
      IF(OR(C44="Zajęte", C44="Spóźnione"),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41</v>
      </c>
      <c r="E44" s="62"/>
    </row>
    <row r="45">
      <c r="A45" s="57">
        <v>44.0</v>
      </c>
      <c r="B45" s="58" t="str">
        <f>IFERROR(__xludf.DUMMYFUNCTION("IF(
  OR(C45=""Zajęte"", C45=""Spóźnione""),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"),"Szczepanik Jan")</f>
        <v>Szczepanik Jan</v>
      </c>
      <c r="C45" s="59" t="str">
        <f t="array" ref="C4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45" s="60">
        <f t="array" ref="D45">IFERROR(
  IF(
    ISBLANK(INDEX(Zestawienie!B:B, MATCH(A45, Zestawienie!A:A, 0))),
    "",
    IF(C45="Wolne",
      IF(
        OR(
          ISBLANK(INDEX(Zestawienie!B:B, MATCH(A45, Zestawienie!A:A, 0))),
          NOT(ISNUMBER(INDEX(Zestawienie!B:B, MATCH(A45, Zestawienie!A:A, 0))))
        ),
        "",
        TODAY()-INDEX(Zestawienie!B:B, MATCH(A45, Zestawienie!A:A, 0))
      ),
      IF(OR(C45="Zajęte", C45="Spóźnione"),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97</v>
      </c>
      <c r="E45" s="62"/>
    </row>
    <row r="46">
      <c r="A46" s="57">
        <v>45.0</v>
      </c>
      <c r="B46" s="58" t="str">
        <f>IFERROR(__xludf.DUMMYFUNCTION("IF(
  OR(C46=""Zajęte"", C46=""Spóźnione""),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"),"Wojewódzki Kamil")</f>
        <v>Wojewódzki Kamil</v>
      </c>
      <c r="C46" s="59" t="str">
        <f t="array" ref="C4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46" s="60">
        <f t="array" ref="D46">IFERROR(
  IF(
    ISBLANK(INDEX(Zestawienie!B:B, MATCH(A46, Zestawienie!A:A, 0))),
    "",
    IF(C46="Wolne",
      IF(
        OR(
          ISBLANK(INDEX(Zestawienie!B:B, MATCH(A46, Zestawienie!A:A, 0))),
          NOT(ISNUMBER(INDEX(Zestawienie!B:B, MATCH(A46, Zestawienie!A:A, 0))))
        ),
        "",
        TODAY()-INDEX(Zestawienie!B:B, MATCH(A46, Zestawienie!A:A, 0))
      ),
      IF(OR(C46="Zajęte", C46="Spóźnione"),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96</v>
      </c>
      <c r="E46" s="62"/>
    </row>
    <row r="47">
      <c r="A47" s="57">
        <v>46.0</v>
      </c>
      <c r="B47" s="58" t="str">
        <f>IFERROR(__xludf.DUMMYFUNCTION("IF(
  OR(C47=""Zajęte"", C47=""Spóźnione""),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"),"Słupski Michał")</f>
        <v>Słupski Michał</v>
      </c>
      <c r="C47" s="59" t="str">
        <f t="array" ref="C4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47" s="60">
        <f t="array" ref="D47">IFERROR(
  IF(
    ISBLANK(INDEX(Zestawienie!B:B, MATCH(A47, Zestawienie!A:A, 0))),
    "",
    IF(C47="Wolne",
      IF(
        OR(
          ISBLANK(INDEX(Zestawienie!B:B, MATCH(A47, Zestawienie!A:A, 0))),
          NOT(ISNUMBER(INDEX(Zestawienie!B:B, MATCH(A47, Zestawienie!A:A, 0))))
        ),
        "",
        TODAY()-INDEX(Zestawienie!B:B, MATCH(A47, Zestawienie!A:A, 0))
      ),
      IF(OR(C47="Zajęte", C47="Spóźnione"),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97</v>
      </c>
      <c r="E47" s="62"/>
    </row>
    <row r="48">
      <c r="A48" s="57">
        <v>47.0</v>
      </c>
      <c r="B48" s="58" t="str">
        <f>IFERROR(__xludf.DUMMYFUNCTION("IF(
  OR(C48=""Zajęte"", C48=""Spóźnione""),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48" s="59" t="str">
        <f t="array" ref="C4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48" s="60">
        <f t="array" ref="D48">IFERROR(
  IF(
    ISBLANK(INDEX(Zestawienie!B:B, MATCH(A48, Zestawienie!A:A, 0))),
    "",
    IF(C48="Wolne",
      IF(
        OR(
          ISBLANK(INDEX(Zestawienie!B:B, MATCH(A48, Zestawienie!A:A, 0))),
          NOT(ISNUMBER(INDEX(Zestawienie!B:B, MATCH(A48, Zestawienie!A:A, 0))))
        ),
        "",
        TODAY()-INDEX(Zestawienie!B:B, MATCH(A48, Zestawienie!A:A, 0))
      ),
      IF(OR(C48="Zajęte", C48="Spóźnione"),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146</v>
      </c>
      <c r="E48" s="62"/>
    </row>
    <row r="49">
      <c r="A49" s="57">
        <v>48.0</v>
      </c>
      <c r="B49" s="58" t="str">
        <f>IFERROR(__xludf.DUMMYFUNCTION("IF(
  OR(C49=""Zajęte"", C49=""Spóźnione""),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49" s="59" t="str">
        <f t="array" ref="C4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49" s="60">
        <f t="array" ref="D49">IFERROR(
  IF(
    ISBLANK(INDEX(Zestawienie!B:B, MATCH(A49, Zestawienie!A:A, 0))),
    "",
    IF(C49="Wolne",
      IF(
        OR(
          ISBLANK(INDEX(Zestawienie!B:B, MATCH(A49, Zestawienie!A:A, 0))),
          NOT(ISNUMBER(INDEX(Zestawienie!B:B, MATCH(A49, Zestawienie!A:A, 0))))
        ),
        "",
        TODAY()-INDEX(Zestawienie!B:B, MATCH(A49, Zestawienie!A:A, 0))
      ),
      IF(OR(C49="Zajęte", C49="Spóźnione"),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IF(C49="Zajęte",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69</v>
      </c>
      <c r="E49" s="62"/>
    </row>
    <row r="50">
      <c r="A50" s="57">
        <v>49.0</v>
      </c>
      <c r="B50" s="58" t="str">
        <f>IFERROR(__xludf.DUMMYFUNCTION("IF(
  OR(C50=""Zajęte"", C50=""Spóźnione""),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"),"Katarzyński Marek")</f>
        <v>Katarzyński Marek</v>
      </c>
      <c r="C50" s="59" t="str">
        <f t="array" ref="C5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50" s="60">
        <f t="array" ref="D50">IFERROR(
  IF(
    ISBLANK(INDEX(Zestawienie!B:B, MATCH(A50, Zestawienie!A:A, 0))),
    "",
    IF(C50="Wolne",
      IF(
        OR(
          ISBLANK(INDEX(Zestawienie!B:B, MATCH(A50, Zestawienie!A:A, 0))),
          NOT(ISNUMBER(INDEX(Zestawienie!B:B, MATCH(A50, Zestawienie!A:A, 0))))
        ),
        "",
        TODAY()-INDEX(Zestawienie!B:B, MATCH(A50, Zestawienie!A:A, 0))
      ),
      IF(OR(C50="Zajęte", C50="Spóźnione"),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240</v>
      </c>
      <c r="E50" s="62"/>
    </row>
    <row r="51">
      <c r="A51" s="57">
        <v>50.0</v>
      </c>
      <c r="B51" s="58" t="str">
        <f>IFERROR(__xludf.DUMMYFUNCTION("IF(
  OR(C51=""Zajęte"", C51=""Spóźnione""),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51" s="59" t="str">
        <f t="array" ref="C5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51" s="60">
        <f t="array" ref="D51">IFERROR(
  IF(
    ISBLANK(INDEX(Zestawienie!B:B, MATCH(A51, Zestawienie!A:A, 0))),
    "",
    IF(C51="Wolne",
      IF(
        OR(
          ISBLANK(INDEX(Zestawienie!B:B, MATCH(A51, Zestawienie!A:A, 0))),
          NOT(ISNUMBER(INDEX(Zestawienie!B:B, MATCH(A51, Zestawienie!A:A, 0))))
        ),
        "",
        TODAY()-INDEX(Zestawienie!B:B, MATCH(A51, Zestawienie!A:A, 0))
      ),
      IF(OR(C51="Zajęte", C51="Spóźnione"),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51" s="62"/>
    </row>
    <row r="52">
      <c r="A52" s="57">
        <v>51.0</v>
      </c>
      <c r="B52" s="58" t="str">
        <f>IFERROR(__xludf.DUMMYFUNCTION("IF(
  OR(C52=""Zajęte"", C52=""Spóźnione""),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"),"Szczepanik Halina")</f>
        <v>Szczepanik Halina</v>
      </c>
      <c r="C52" s="59" t="str">
        <f t="array" ref="C5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52" s="60">
        <f t="array" ref="D52">IFERROR(
  IF(
    ISBLANK(INDEX(Zestawienie!B:B, MATCH(A52, Zestawienie!A:A, 0))),
    "",
    IF(C52="Wolne",
      IF(
        OR(
          ISBLANK(INDEX(Zestawienie!B:B, MATCH(A52, Zestawienie!A:A, 0))),
          NOT(ISNUMBER(INDEX(Zestawienie!B:B, MATCH(A52, Zestawienie!A:A, 0))))
        ),
        "",
        TODAY()-INDEX(Zestawienie!B:B, MATCH(A52, Zestawienie!A:A, 0))
      ),
      IF(OR(C52="Zajęte", C52="Spóźnione"),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97</v>
      </c>
      <c r="E52" s="62"/>
    </row>
    <row r="53">
      <c r="A53" s="57">
        <v>52.0</v>
      </c>
      <c r="B53" s="58" t="str">
        <f>IFERROR(__xludf.DUMMYFUNCTION("IF(
  OR(C53=""Zajęte"", C53=""Spóźnione""),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"),"Piechota Ireneusz")</f>
        <v>Piechota Ireneusz</v>
      </c>
      <c r="C53" s="59" t="str">
        <f t="array" ref="C5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53" s="60">
        <f t="array" ref="D53">IFERROR(
  IF(
    ISBLANK(INDEX(Zestawienie!B:B, MATCH(A53, Zestawienie!A:A, 0))),
    "",
    IF(C53="Wolne",
      IF(
        OR(
          ISBLANK(INDEX(Zestawienie!B:B, MATCH(A53, Zestawienie!A:A, 0))),
          NOT(ISNUMBER(INDEX(Zestawienie!B:B, MATCH(A53, Zestawienie!A:A, 0))))
        ),
        "",
        TODAY()-INDEX(Zestawienie!B:B, MATCH(A53, Zestawienie!A:A, 0))
      ),
      IF(OR(C53="Zajęte", C53="Spóźnione"),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v>
      </c>
      <c r="E53" s="62"/>
    </row>
    <row r="54">
      <c r="A54" s="57">
        <v>53.0</v>
      </c>
      <c r="B54" s="58" t="str">
        <f>IFERROR(__xludf.DUMMYFUNCTION("IF(
  OR(C54=""Zajęte"", C54=""Spóźnione""),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54" s="59" t="str">
        <f t="array" ref="C5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54" s="60">
        <f t="array" ref="D54">IFERROR(
  IF(
    ISBLANK(INDEX(Zestawienie!B:B, MATCH(A54, Zestawienie!A:A, 0))),
    "",
    IF(C54="Wolne",
      IF(
        OR(
          ISBLANK(INDEX(Zestawienie!B:B, MATCH(A54, Zestawienie!A:A, 0))),
          NOT(ISNUMBER(INDEX(Zestawienie!B:B, MATCH(A54, Zestawienie!A:A, 0))))
        ),
        "",
        TODAY()-INDEX(Zestawienie!B:B, MATCH(A54, Zestawienie!A:A, 0))
      ),
      IF(OR(C54="Zajęte", C54="Spóźnione"),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149</v>
      </c>
      <c r="E54" s="62"/>
    </row>
    <row r="55">
      <c r="A55" s="57">
        <v>54.0</v>
      </c>
      <c r="B55" s="58" t="str">
        <f>IFERROR(__xludf.DUMMYFUNCTION("IF(
  OR(C55=""Zajęte"", C55=""Spóźnione""),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55" s="59" t="str">
        <f t="array" ref="C5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55" s="60">
        <f t="array" ref="D55">IFERROR(
  IF(
    ISBLANK(INDEX(Zestawienie!B:B, MATCH(A55, Zestawienie!A:A, 0))),
    "",
    IF(C55="Wolne",
      IF(
        OR(
          ISBLANK(INDEX(Zestawienie!B:B, MATCH(A55, Zestawienie!A:A, 0))),
          NOT(ISNUMBER(INDEX(Zestawienie!B:B, MATCH(A55, Zestawienie!A:A, 0))))
        ),
        "",
        TODAY()-INDEX(Zestawienie!B:B, MATCH(A55, Zestawienie!A:A, 0))
      ),
      IF(OR(C55="Zajęte", C55="Spóźnione"),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v>
      </c>
      <c r="E55" s="62"/>
    </row>
    <row r="56">
      <c r="A56" s="57">
        <v>55.0</v>
      </c>
      <c r="B56" s="58" t="str">
        <f>IFERROR(__xludf.DUMMYFUNCTION("IF(
  OR(C56=""Zajęte"", C56=""Spóźnione""),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"),"Gawryluk Ewa")</f>
        <v>Gawryluk Ewa</v>
      </c>
      <c r="C56" s="59" t="str">
        <f t="array" ref="C5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56" s="60">
        <f t="array" ref="D56">IFERROR(
  IF(
    ISBLANK(INDEX(Zestawienie!B:B, MATCH(A56, Zestawienie!A:A, 0))),
    "",
    IF(C56="Wolne",
      IF(
        OR(
          ISBLANK(INDEX(Zestawienie!B:B, MATCH(A56, Zestawienie!A:A, 0))),
          NOT(ISNUMBER(INDEX(Zestawienie!B:B, MATCH(A56, Zestawienie!A:A, 0))))
        ),
        "",
        TODAY()-INDEX(Zestawienie!B:B, MATCH(A56, Zestawienie!A:A, 0))
      ),
      IF(OR(C56="Zajęte", C56="Spóźnione"),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v>
      </c>
      <c r="E56" s="62"/>
    </row>
    <row r="57">
      <c r="A57" s="57">
        <v>56.0</v>
      </c>
      <c r="B57" s="58" t="str">
        <f>IFERROR(__xludf.DUMMYFUNCTION("IF(
  OR(C57=""Zajęte"", C57=""Spóźnione""),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"),"Szczepanik Halina")</f>
        <v>Szczepanik Halina</v>
      </c>
      <c r="C57" s="59" t="str">
        <f t="array" ref="C5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57" s="60">
        <f t="array" ref="D57">IFERROR(
  IF(
    ISBLANK(INDEX(Zestawienie!B:B, MATCH(A57, Zestawienie!A:A, 0))),
    "",
    IF(C57="Wolne",
      IF(
        OR(
          ISBLANK(INDEX(Zestawienie!B:B, MATCH(A57, Zestawienie!A:A, 0))),
          NOT(ISNUMBER(INDEX(Zestawienie!B:B, MATCH(A57, Zestawienie!A:A, 0))))
        ),
        "",
        TODAY()-INDEX(Zestawienie!B:B, MATCH(A57, Zestawienie!A:A, 0))
      ),
      IF(OR(C57="Zajęte", C57="Spóźnione"),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97</v>
      </c>
      <c r="E57" s="62"/>
    </row>
    <row r="58">
      <c r="A58" s="57">
        <v>57.0</v>
      </c>
      <c r="B58" s="58" t="str">
        <f>IFERROR(__xludf.DUMMYFUNCTION("IF(
  OR(C58=""Zajęte"", C58=""Spóźnione""),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58" s="59" t="str">
        <f t="array" ref="C5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58" s="60">
        <f t="array" ref="D58">IFERROR(
  IF(
    ISBLANK(INDEX(Zestawienie!B:B, MATCH(A58, Zestawienie!A:A, 0))),
    "",
    IF(C58="Wolne",
      IF(
        OR(
          ISBLANK(INDEX(Zestawienie!B:B, MATCH(A58, Zestawienie!A:A, 0))),
          NOT(ISNUMBER(INDEX(Zestawienie!B:B, MATCH(A58, Zestawienie!A:A, 0))))
        ),
        "",
        TODAY()-INDEX(Zestawienie!B:B, MATCH(A58, Zestawienie!A:A, 0))
      ),
      IF(OR(C58="Zajęte", C58="Spóźnione"),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43</v>
      </c>
      <c r="E58" s="62"/>
    </row>
    <row r="59">
      <c r="A59" s="57">
        <v>58.0</v>
      </c>
      <c r="B59" s="58" t="str">
        <f>IFERROR(__xludf.DUMMYFUNCTION("IF(
  OR(C59=""Zajęte"", C59=""Spóźnione""),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"),"Wojewódzki Kamil")</f>
        <v>Wojewódzki Kamil</v>
      </c>
      <c r="C59" s="59" t="str">
        <f t="array" ref="C5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59" s="60">
        <f t="array" ref="D59">IFERROR(
  IF(
    ISBLANK(INDEX(Zestawienie!B:B, MATCH(A59, Zestawienie!A:A, 0))),
    "",
    IF(C59="Wolne",
      IF(
        OR(
          ISBLANK(INDEX(Zestawienie!B:B, MATCH(A59, Zestawienie!A:A, 0))),
          NOT(ISNUMBER(INDEX(Zestawienie!B:B, MATCH(A59, Zestawienie!A:A, 0))))
        ),
        "",
        TODAY()-INDEX(Zestawienie!B:B, MATCH(A59, Zestawienie!A:A, 0))
      ),
      IF(OR(C59="Zajęte", C59="Spóźnione"),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IF(C59="Zajęte",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92</v>
      </c>
      <c r="E59" s="62"/>
    </row>
    <row r="60">
      <c r="A60" s="57">
        <v>59.0</v>
      </c>
      <c r="B60" s="58" t="str">
        <f>IFERROR(__xludf.DUMMYFUNCTION("IF(
  OR(C60=""Zajęte"", C60=""Spóźnione""),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"),"Wojewódzki Kamil")</f>
        <v>Wojewódzki Kamil</v>
      </c>
      <c r="C60" s="59" t="str">
        <f t="array" ref="C6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60" s="60">
        <f t="array" ref="D60">IFERROR(
  IF(
    ISBLANK(INDEX(Zestawienie!B:B, MATCH(A60, Zestawienie!A:A, 0))),
    "",
    IF(C60="Wolne",
      IF(
        OR(
          ISBLANK(INDEX(Zestawienie!B:B, MATCH(A60, Zestawienie!A:A, 0))),
          NOT(ISNUMBER(INDEX(Zestawienie!B:B, MATCH(A60, Zestawienie!A:A, 0))))
        ),
        "",
        TODAY()-INDEX(Zestawienie!B:B, MATCH(A60, Zestawienie!A:A, 0))
      ),
      IF(OR(C60="Zajęte", C60="Spóźnione"),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92</v>
      </c>
      <c r="E60" s="62"/>
    </row>
    <row r="61">
      <c r="A61" s="57">
        <v>60.0</v>
      </c>
      <c r="B61" s="58" t="str">
        <f>IFERROR(__xludf.DUMMYFUNCTION("IF(
  OR(C61=""Zajęte"", C61=""Spóźnione""),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61" s="59" t="str">
        <f t="array" ref="C6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61" s="60">
        <f t="array" ref="D61">IFERROR(
  IF(
    ISBLANK(INDEX(Zestawienie!B:B, MATCH(A61, Zestawienie!A:A, 0))),
    "",
    IF(C61="Wolne",
      IF(
        OR(
          ISBLANK(INDEX(Zestawienie!B:B, MATCH(A61, Zestawienie!A:A, 0))),
          NOT(ISNUMBER(INDEX(Zestawienie!B:B, MATCH(A61, Zestawienie!A:A, 0))))
        ),
        "",
        TODAY()-INDEX(Zestawienie!B:B, MATCH(A61, Zestawienie!A:A, 0))
      ),
      IF(OR(C61="Zajęte", C61="Spóźnione"),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61" s="62"/>
    </row>
    <row r="62">
      <c r="A62" s="57">
        <v>61.0</v>
      </c>
      <c r="B62" s="58" t="str">
        <f>IFERROR(__xludf.DUMMYFUNCTION("IF(
  OR(C62=""Zajęte"", C62=""Spóźnione""),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"),"Wojewódzki Kamil")</f>
        <v>Wojewódzki Kamil</v>
      </c>
      <c r="C62" s="59" t="str">
        <f t="array" ref="C6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62" s="60">
        <f t="array" ref="D62">IFERROR(
  IF(
    ISBLANK(INDEX(Zestawienie!B:B, MATCH(A62, Zestawienie!A:A, 0))),
    "",
    IF(C62="Wolne",
      IF(
        OR(
          ISBLANK(INDEX(Zestawienie!B:B, MATCH(A62, Zestawienie!A:A, 0))),
          NOT(ISNUMBER(INDEX(Zestawienie!B:B, MATCH(A62, Zestawienie!A:A, 0))))
        ),
        "",
        TODAY()-INDEX(Zestawienie!B:B, MATCH(A62, Zestawienie!A:A, 0))
      ),
      IF(OR(C62="Zajęte", C62="Spóźnione"),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92</v>
      </c>
      <c r="E62" s="62"/>
    </row>
    <row r="63">
      <c r="A63" s="57">
        <v>62.0</v>
      </c>
      <c r="B63" s="58" t="str">
        <f>IFERROR(__xludf.DUMMYFUNCTION("IF(
  OR(C63=""Zajęte"", C63=""Spóźnione""),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63" s="59" t="str">
        <f t="array" ref="C6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63" s="60">
        <f t="array" ref="D63">IFERROR(
  IF(
    ISBLANK(INDEX(Zestawienie!B:B, MATCH(A63, Zestawienie!A:A, 0))),
    "",
    IF(C63="Wolne",
      IF(
        OR(
          ISBLANK(INDEX(Zestawienie!B:B, MATCH(A63, Zestawienie!A:A, 0))),
          NOT(ISNUMBER(INDEX(Zestawienie!B:B, MATCH(A63, Zestawienie!A:A, 0))))
        ),
        "",
        TODAY()-INDEX(Zestawienie!B:B, MATCH(A63, Zestawienie!A:A, 0))
      ),
      IF(OR(C63="Zajęte", C63="Spóźnione"),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69</v>
      </c>
      <c r="E63" s="62"/>
    </row>
    <row r="64">
      <c r="A64" s="57">
        <v>63.0</v>
      </c>
      <c r="B64" s="58" t="str">
        <f>IFERROR(__xludf.DUMMYFUNCTION("IF(
  OR(C64=""Zajęte"", C64=""Spóźnione""),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64" s="59" t="str">
        <f t="array" ref="C6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64" s="60">
        <f t="array" ref="D64">IFERROR(
  IF(
    ISBLANK(INDEX(Zestawienie!B:B, MATCH(A64, Zestawienie!A:A, 0))),
    "",
    IF(C64="Wolne",
      IF(
        OR(
          ISBLANK(INDEX(Zestawienie!B:B, MATCH(A64, Zestawienie!A:A, 0))),
          NOT(ISNUMBER(INDEX(Zestawienie!B:B, MATCH(A64, Zestawienie!A:A, 0))))
        ),
        "",
        TODAY()-INDEX(Zestawienie!B:B, MATCH(A64, Zestawienie!A:A, 0))
      ),
      IF(OR(C64="Zajęte", C64="Spóźnione"),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540</v>
      </c>
      <c r="E64" s="62"/>
    </row>
    <row r="65">
      <c r="A65" s="57">
        <v>64.0</v>
      </c>
      <c r="B65" s="58" t="str">
        <f>IFERROR(__xludf.DUMMYFUNCTION("IF(
  OR(C65=""Zajęte"", C65=""Spóźnione""),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"),"Piechota Ireneusz")</f>
        <v>Piechota Ireneusz</v>
      </c>
      <c r="C65" s="59" t="str">
        <f t="array" ref="C6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65" s="60">
        <f t="array" ref="D65">IFERROR(
  IF(
    ISBLANK(INDEX(Zestawienie!B:B, MATCH(A65, Zestawienie!A:A, 0))),
    "",
    IF(C65="Wolne",
      IF(
        OR(
          ISBLANK(INDEX(Zestawienie!B:B, MATCH(A65, Zestawienie!A:A, 0))),
          NOT(ISNUMBER(INDEX(Zestawienie!B:B, MATCH(A65, Zestawienie!A:A, 0))))
        ),
        "",
        TODAY()-INDEX(Zestawienie!B:B, MATCH(A65, Zestawienie!A:A, 0))
      ),
      IF(OR(C65="Zajęte", C65="Spóźnione"),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v>
      </c>
      <c r="E65" s="62"/>
    </row>
    <row r="66">
      <c r="A66" s="57">
        <v>65.0</v>
      </c>
      <c r="B66" s="58" t="str">
        <f>IFERROR(__xludf.DUMMYFUNCTION("IF(
  OR(C66=""Zajęte"", C66=""Spóźnione""),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"),"Milewska Anna")</f>
        <v>Milewska Anna</v>
      </c>
      <c r="C66" s="59" t="str">
        <f t="array" ref="C6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66" s="60">
        <f t="array" ref="D66">IFERROR(
  IF(
    ISBLANK(INDEX(Zestawienie!B:B, MATCH(A66, Zestawienie!A:A, 0))),
    "",
    IF(C66="Wolne",
      IF(
        OR(
          ISBLANK(INDEX(Zestawienie!B:B, MATCH(A66, Zestawienie!A:A, 0))),
          NOT(ISNUMBER(INDEX(Zestawienie!B:B, MATCH(A66, Zestawienie!A:A, 0))))
        ),
        "",
        TODAY()-INDEX(Zestawienie!B:B, MATCH(A66, Zestawienie!A:A, 0))
      ),
      IF(OR(C66="Zajęte", C66="Spóźnione"),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v>
      </c>
      <c r="E66" s="62"/>
    </row>
    <row r="67">
      <c r="A67" s="57">
        <v>66.0</v>
      </c>
      <c r="B67" s="58" t="str">
        <f>IFERROR(__xludf.DUMMYFUNCTION("IF(
  OR(C67=""Zajęte"", C67=""Spóźnione""),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"),"Piechota Ireneusz")</f>
        <v>Piechota Ireneusz</v>
      </c>
      <c r="C67" s="59" t="str">
        <f t="array" ref="C6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67" s="60">
        <f t="array" ref="D67">IFERROR(
  IF(
    ISBLANK(INDEX(Zestawienie!B:B, MATCH(A67, Zestawienie!A:A, 0))),
    "",
    IF(C67="Wolne",
      IF(
        OR(
          ISBLANK(INDEX(Zestawienie!B:B, MATCH(A67, Zestawienie!A:A, 0))),
          NOT(ISNUMBER(INDEX(Zestawienie!B:B, MATCH(A67, Zestawienie!A:A, 0))))
        ),
        "",
        TODAY()-INDEX(Zestawienie!B:B, MATCH(A67, Zestawienie!A:A, 0))
      ),
      IF(OR(C67="Zajęte", C67="Spóźnione"),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64</v>
      </c>
      <c r="E67" s="62"/>
    </row>
    <row r="68">
      <c r="A68" s="57">
        <v>67.0</v>
      </c>
      <c r="B68" s="58" t="str">
        <f>IFERROR(__xludf.DUMMYFUNCTION("IF(
  OR(C68=""Zajęte"", C68=""Spóźnione""),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"),"Grabowska Lidia")</f>
        <v>Grabowska Lidia</v>
      </c>
      <c r="C68" s="59" t="str">
        <f t="array" ref="C6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68" s="60">
        <f t="array" ref="D68">IFERROR(
  IF(
    ISBLANK(INDEX(Zestawienie!B:B, MATCH(A68, Zestawienie!A:A, 0))),
    "",
    IF(C68="Wolne",
      IF(
        OR(
          ISBLANK(INDEX(Zestawienie!B:B, MATCH(A68, Zestawienie!A:A, 0))),
          NOT(ISNUMBER(INDEX(Zestawienie!B:B, MATCH(A68, Zestawienie!A:A, 0))))
        ),
        "",
        TODAY()-INDEX(Zestawienie!B:B, MATCH(A68, Zestawienie!A:A, 0))
      ),
      IF(OR(C68="Zajęte", C68="Spóźnione"),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341</v>
      </c>
      <c r="E68" s="62"/>
    </row>
    <row r="69">
      <c r="A69" s="57">
        <v>68.0</v>
      </c>
      <c r="B69" s="58" t="str">
        <f>IFERROR(__xludf.DUMMYFUNCTION("IF(
  OR(C69=""Zajęte"", C69=""Spóźnione""),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"),"Grabowska Lidia")</f>
        <v>Grabowska Lidia</v>
      </c>
      <c r="C69" s="59" t="str">
        <f t="array" ref="C6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69" s="60">
        <f t="array" ref="D69">IFERROR(
  IF(
    ISBLANK(INDEX(Zestawienie!B:B, MATCH(A69, Zestawienie!A:A, 0))),
    "",
    IF(C69="Wolne",
      IF(
        OR(
          ISBLANK(INDEX(Zestawienie!B:B, MATCH(A69, Zestawienie!A:A, 0))),
          NOT(ISNUMBER(INDEX(Zestawienie!B:B, MATCH(A69, Zestawienie!A:A, 0))))
        ),
        "",
        TODAY()-INDEX(Zestawienie!B:B, MATCH(A69, Zestawienie!A:A, 0))
      ),
      IF(OR(C69="Zajęte", C69="Spóźnione"),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IF(C69="Zajęte",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94</v>
      </c>
      <c r="E69" s="62"/>
    </row>
    <row r="70">
      <c r="A70" s="57">
        <v>69.0</v>
      </c>
      <c r="B70" s="58" t="str">
        <f>IFERROR(__xludf.DUMMYFUNCTION("IF(
  OR(C70=""Zajęte"", C70=""Spóźnione""),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70" s="59" t="str">
        <f t="array" ref="C7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70" s="60">
        <f t="array" ref="D70">IFERROR(
  IF(
    ISBLANK(INDEX(Zestawienie!B:B, MATCH(A70, Zestawienie!A:A, 0))),
    "",
    IF(C70="Wolne",
      IF(
        OR(
          ISBLANK(INDEX(Zestawienie!B:B, MATCH(A70, Zestawienie!A:A, 0))),
          NOT(ISNUMBER(INDEX(Zestawienie!B:B, MATCH(A70, Zestawienie!A:A, 0))))
        ),
        "",
        TODAY()-INDEX(Zestawienie!B:B, MATCH(A70, Zestawienie!A:A, 0))
      ),
      IF(OR(C70="Zajęte", C70="Spóźnione"),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33</v>
      </c>
      <c r="E70" s="62"/>
    </row>
    <row r="71">
      <c r="A71" s="57">
        <v>70.0</v>
      </c>
      <c r="B71" s="58" t="str">
        <f>IFERROR(__xludf.DUMMYFUNCTION("IF(
  OR(C71=""Zajęte"", C71=""Spóźnione""),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71" s="59" t="str">
        <f t="array" ref="C7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71" s="60">
        <f t="array" ref="D71">IFERROR(
  IF(
    ISBLANK(INDEX(Zestawienie!B:B, MATCH(A71, Zestawienie!A:A, 0))),
    "",
    IF(C71="Wolne",
      IF(
        OR(
          ISBLANK(INDEX(Zestawienie!B:B, MATCH(A71, Zestawienie!A:A, 0))),
          NOT(ISNUMBER(INDEX(Zestawienie!B:B, MATCH(A71, Zestawienie!A:A, 0))))
        ),
        "",
        TODAY()-INDEX(Zestawienie!B:B, MATCH(A71, Zestawienie!A:A, 0))
      ),
      IF(OR(C71="Zajęte", C71="Spóźnione"),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278</v>
      </c>
      <c r="E71" s="62"/>
    </row>
    <row r="72">
      <c r="A72" s="57">
        <v>71.0</v>
      </c>
      <c r="B72" s="58" t="str">
        <f>IFERROR(__xludf.DUMMYFUNCTION("IF(
  OR(C72=""Zajęte"", C72=""Spóźnione""),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72" s="59" t="str">
        <f t="array" ref="C7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72" s="60">
        <f t="array" ref="D72">IFERROR(
  IF(
    ISBLANK(INDEX(Zestawienie!B:B, MATCH(A72, Zestawienie!A:A, 0))),
    "",
    IF(C72="Wolne",
      IF(
        OR(
          ISBLANK(INDEX(Zestawienie!B:B, MATCH(A72, Zestawienie!A:A, 0))),
          NOT(ISNUMBER(INDEX(Zestawienie!B:B, MATCH(A72, Zestawienie!A:A, 0))))
        ),
        "",
        TODAY()-INDEX(Zestawienie!B:B, MATCH(A72, Zestawienie!A:A, 0))
      ),
      IF(OR(C72="Zajęte", C72="Spóźnione"),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72" s="62"/>
    </row>
    <row r="73">
      <c r="A73" s="57">
        <v>72.0</v>
      </c>
      <c r="B73" s="58" t="str">
        <f>IFERROR(__xludf.DUMMYFUNCTION("IF(
  OR(C73=""Zajęte"", C73=""Spóźnione""),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"),"Stachyra Witold")</f>
        <v>Stachyra Witold</v>
      </c>
      <c r="C73" s="59" t="str">
        <f t="array" ref="C7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73" s="60">
        <f t="array" ref="D73">IFERROR(
  IF(
    ISBLANK(INDEX(Zestawienie!B:B, MATCH(A73, Zestawienie!A:A, 0))),
    "",
    IF(C73="Wolne",
      IF(
        OR(
          ISBLANK(INDEX(Zestawienie!B:B, MATCH(A73, Zestawienie!A:A, 0))),
          NOT(ISNUMBER(INDEX(Zestawienie!B:B, MATCH(A73, Zestawienie!A:A, 0))))
        ),
        "",
        TODAY()-INDEX(Zestawienie!B:B, MATCH(A73, Zestawienie!A:A, 0))
      ),
      IF(OR(C73="Zajęte", C73="Spóźnione"),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69</v>
      </c>
      <c r="E73" s="62"/>
    </row>
    <row r="74">
      <c r="A74" s="57">
        <v>73.0</v>
      </c>
      <c r="B74" s="58" t="str">
        <f>IFERROR(__xludf.DUMMYFUNCTION("IF(
  OR(C74=""Zajęte"", C74=""Spóźnione""),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"),"Stachyra Witold")</f>
        <v>Stachyra Witold</v>
      </c>
      <c r="C74" s="59" t="str">
        <f t="array" ref="C7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74" s="60">
        <f t="array" ref="D74">IFERROR(
  IF(
    ISBLANK(INDEX(Zestawienie!B:B, MATCH(A74, Zestawienie!A:A, 0))),
    "",
    IF(C74="Wolne",
      IF(
        OR(
          ISBLANK(INDEX(Zestawienie!B:B, MATCH(A74, Zestawienie!A:A, 0))),
          NOT(ISNUMBER(INDEX(Zestawienie!B:B, MATCH(A74, Zestawienie!A:A, 0))))
        ),
        "",
        TODAY()-INDEX(Zestawienie!B:B, MATCH(A74, Zestawienie!A:A, 0))
      ),
      IF(OR(C74="Zajęte", C74="Spóźnione"),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24</v>
      </c>
      <c r="E74" s="62"/>
    </row>
    <row r="75">
      <c r="A75" s="57">
        <v>74.0</v>
      </c>
      <c r="B75" s="58" t="str">
        <f>IFERROR(__xludf.DUMMYFUNCTION("IF(
  OR(C75=""Zajęte"", C75=""Spóźnione""),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"),"Katarzyński Marek")</f>
        <v>Katarzyński Marek</v>
      </c>
      <c r="C75" s="59" t="str">
        <f t="array" ref="C7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75" s="60">
        <f t="array" ref="D75">IFERROR(
  IF(
    ISBLANK(INDEX(Zestawienie!B:B, MATCH(A75, Zestawienie!A:A, 0))),
    "",
    IF(C75="Wolne",
      IF(
        OR(
          ISBLANK(INDEX(Zestawienie!B:B, MATCH(A75, Zestawienie!A:A, 0))),
          NOT(ISNUMBER(INDEX(Zestawienie!B:B, MATCH(A75, Zestawienie!A:A, 0))))
        ),
        "",
        TODAY()-INDEX(Zestawienie!B:B, MATCH(A75, Zestawienie!A:A, 0))
      ),
      IF(OR(C75="Zajęte", C75="Spóźnione"),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219</v>
      </c>
      <c r="E75" s="62"/>
    </row>
    <row r="76">
      <c r="A76" s="57">
        <v>75.0</v>
      </c>
      <c r="B76" s="58" t="str">
        <f>IFERROR(__xludf.DUMMYFUNCTION("IF(
  OR(C76=""Zajęte"", C76=""Spóźnione""),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"),"Stachyra Witold")</f>
        <v>Stachyra Witold</v>
      </c>
      <c r="C76" s="59" t="str">
        <f t="array" ref="C7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76" s="60">
        <f t="array" ref="D76">IFERROR(
  IF(
    ISBLANK(INDEX(Zestawienie!B:B, MATCH(A76, Zestawienie!A:A, 0))),
    "",
    IF(C76="Wolne",
      IF(
        OR(
          ISBLANK(INDEX(Zestawienie!B:B, MATCH(A76, Zestawienie!A:A, 0))),
          NOT(ISNUMBER(INDEX(Zestawienie!B:B, MATCH(A76, Zestawienie!A:A, 0))))
        ),
        "",
        TODAY()-INDEX(Zestawienie!B:B, MATCH(A76, Zestawienie!A:A, 0))
      ),
      IF(OR(C76="Zajęte", C76="Spóźnione"),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69</v>
      </c>
      <c r="E76" s="62"/>
    </row>
    <row r="77">
      <c r="A77" s="57">
        <v>76.0</v>
      </c>
      <c r="B77" s="58" t="str">
        <f>IFERROR(__xludf.DUMMYFUNCTION("IF(
  OR(C77=""Zajęte"", C77=""Spóźnione""),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"),"Stachyra Witold")</f>
        <v>Stachyra Witold</v>
      </c>
      <c r="C77" s="59" t="str">
        <f t="array" ref="C7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77" s="60">
        <f t="array" ref="D77">IFERROR(
  IF(
    ISBLANK(INDEX(Zestawienie!B:B, MATCH(A77, Zestawienie!A:A, 0))),
    "",
    IF(C77="Wolne",
      IF(
        OR(
          ISBLANK(INDEX(Zestawienie!B:B, MATCH(A77, Zestawienie!A:A, 0))),
          NOT(ISNUMBER(INDEX(Zestawienie!B:B, MATCH(A77, Zestawienie!A:A, 0))))
        ),
        "",
        TODAY()-INDEX(Zestawienie!B:B, MATCH(A77, Zestawienie!A:A, 0))
      ),
      IF(OR(C77="Zajęte", C77="Spóźnione"),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69</v>
      </c>
      <c r="E77" s="62"/>
    </row>
    <row r="78">
      <c r="A78" s="57">
        <v>77.0</v>
      </c>
      <c r="B78" s="58" t="str">
        <f>IFERROR(__xludf.DUMMYFUNCTION("IF(
  OR(C78=""Zajęte"", C78=""Spóźnione""),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78" s="59" t="str">
        <f t="array" ref="C7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78" s="60" t="str">
        <f t="array" ref="D78">IFERROR(
  IF(
    ISBLANK(INDEX(Zestawienie!B:B, MATCH(A78, Zestawienie!A:A, 0))),
    "",
    IF(C78="Wolne",
      IF(
        OR(
          ISBLANK(INDEX(Zestawienie!B:B, MATCH(A78, Zestawienie!A:A, 0))),
          NOT(ISNUMBER(INDEX(Zestawienie!B:B, MATCH(A78, Zestawienie!A:A, 0))))
        ),
        "",
        TODAY()-INDEX(Zestawienie!B:B, MATCH(A78, Zestawienie!A:A, 0))
      ),
      IF(OR(C78="Zajęte", C78="Spóźnione"),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78" s="62"/>
    </row>
    <row r="79">
      <c r="A79" s="57">
        <v>78.0</v>
      </c>
      <c r="B79" s="58" t="str">
        <f>IFERROR(__xludf.DUMMYFUNCTION("IF(
  OR(C79=""Zajęte"", C79=""Spóźnione""),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79" s="59" t="str">
        <f t="array" ref="C7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79" s="60" t="str">
        <f t="array" ref="D79">IFERROR(
  IF(
    ISBLANK(INDEX(Zestawienie!B:B, MATCH(A79, Zestawienie!A:A, 0))),
    "",
    IF(C79="Wolne",
      IF(
        OR(
          ISBLANK(INDEX(Zestawienie!B:B, MATCH(A79, Zestawienie!A:A, 0))),
          NOT(ISNUMBER(INDEX(Zestawienie!B:B, MATCH(A79, Zestawienie!A:A, 0))))
        ),
        "",
        TODAY()-INDEX(Zestawienie!B:B, MATCH(A79, Zestawienie!A:A, 0))
      ),
      IF(OR(C79="Zajęte", C79="Spóźnione"),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IF(C79="Zajęte",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79" s="62"/>
    </row>
    <row r="80">
      <c r="A80" s="57">
        <v>79.0</v>
      </c>
      <c r="B80" s="58" t="str">
        <f>IFERROR(__xludf.DUMMYFUNCTION("IF(
  OR(C80=""Zajęte"", C80=""Spóźnione""),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0" s="59" t="str">
        <f t="array" ref="C8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0" s="60" t="str">
        <f t="array" ref="D80">IFERROR(
  IF(
    ISBLANK(INDEX(Zestawienie!B:B, MATCH(A80, Zestawienie!A:A, 0))),
    "",
    IF(C80="Wolne",
      IF(
        OR(
          ISBLANK(INDEX(Zestawienie!B:B, MATCH(A80, Zestawienie!A:A, 0))),
          NOT(ISNUMBER(INDEX(Zestawienie!B:B, MATCH(A80, Zestawienie!A:A, 0))))
        ),
        "",
        TODAY()-INDEX(Zestawienie!B:B, MATCH(A80, Zestawienie!A:A, 0))
      ),
      IF(OR(C80="Zajęte", C80="Spóźnione"),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0" s="62"/>
    </row>
    <row r="81">
      <c r="A81" s="57">
        <v>80.0</v>
      </c>
      <c r="B81" s="58" t="str">
        <f>IFERROR(__xludf.DUMMYFUNCTION("IF(
  OR(C81=""Zajęte"", C81=""Spóźnione""),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1" s="59" t="str">
        <f t="array" ref="C8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1" s="60" t="str">
        <f t="array" ref="D81">IFERROR(
  IF(
    ISBLANK(INDEX(Zestawienie!B:B, MATCH(A81, Zestawienie!A:A, 0))),
    "",
    IF(C81="Wolne",
      IF(
        OR(
          ISBLANK(INDEX(Zestawienie!B:B, MATCH(A81, Zestawienie!A:A, 0))),
          NOT(ISNUMBER(INDEX(Zestawienie!B:B, MATCH(A81, Zestawienie!A:A, 0))))
        ),
        "",
        TODAY()-INDEX(Zestawienie!B:B, MATCH(A81, Zestawienie!A:A, 0))
      ),
      IF(OR(C81="Zajęte", C81="Spóźnione"),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1" s="62"/>
    </row>
    <row r="82">
      <c r="A82" s="57">
        <v>81.0</v>
      </c>
      <c r="B82" s="58" t="str">
        <f>IFERROR(__xludf.DUMMYFUNCTION("IF(
  OR(C82=""Zajęte"", C82=""Spóźnione""),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2" s="59" t="str">
        <f t="array" ref="C8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2" s="60" t="str">
        <f t="array" ref="D82">IFERROR(
  IF(
    ISBLANK(INDEX(Zestawienie!B:B, MATCH(A82, Zestawienie!A:A, 0))),
    "",
    IF(C82="Wolne",
      IF(
        OR(
          ISBLANK(INDEX(Zestawienie!B:B, MATCH(A82, Zestawienie!A:A, 0))),
          NOT(ISNUMBER(INDEX(Zestawienie!B:B, MATCH(A82, Zestawienie!A:A, 0))))
        ),
        "",
        TODAY()-INDEX(Zestawienie!B:B, MATCH(A82, Zestawienie!A:A, 0))
      ),
      IF(OR(C82="Zajęte", C82="Spóźnione"),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2" s="62"/>
    </row>
    <row r="83">
      <c r="A83" s="57">
        <v>82.0</v>
      </c>
      <c r="B83" s="58" t="str">
        <f>IFERROR(__xludf.DUMMYFUNCTION("IF(
  OR(C83=""Zajęte"", C83=""Spóźnione""),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3" s="59" t="str">
        <f t="array" ref="C8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3" s="60" t="str">
        <f t="array" ref="D83">IFERROR(
  IF(
    ISBLANK(INDEX(Zestawienie!B:B, MATCH(A83, Zestawienie!A:A, 0))),
    "",
    IF(C83="Wolne",
      IF(
        OR(
          ISBLANK(INDEX(Zestawienie!B:B, MATCH(A83, Zestawienie!A:A, 0))),
          NOT(ISNUMBER(INDEX(Zestawienie!B:B, MATCH(A83, Zestawienie!A:A, 0))))
        ),
        "",
        TODAY()-INDEX(Zestawienie!B:B, MATCH(A83, Zestawienie!A:A, 0))
      ),
      IF(OR(C83="Zajęte", C83="Spóźnione"),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3" s="62"/>
    </row>
    <row r="84">
      <c r="A84" s="57">
        <v>83.0</v>
      </c>
      <c r="B84" s="58" t="str">
        <f>IFERROR(__xludf.DUMMYFUNCTION("IF(
  OR(C84=""Zajęte"", C84=""Spóźnione""),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4" s="59" t="str">
        <f t="array" ref="C8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4" s="60" t="str">
        <f t="array" ref="D84">IFERROR(
  IF(
    ISBLANK(INDEX(Zestawienie!B:B, MATCH(A84, Zestawienie!A:A, 0))),
    "",
    IF(C84="Wolne",
      IF(
        OR(
          ISBLANK(INDEX(Zestawienie!B:B, MATCH(A84, Zestawienie!A:A, 0))),
          NOT(ISNUMBER(INDEX(Zestawienie!B:B, MATCH(A84, Zestawienie!A:A, 0))))
        ),
        "",
        TODAY()-INDEX(Zestawienie!B:B, MATCH(A84, Zestawienie!A:A, 0))
      ),
      IF(OR(C84="Zajęte", C84="Spóźnione"),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4" s="62"/>
    </row>
    <row r="85">
      <c r="A85" s="57">
        <v>84.0</v>
      </c>
      <c r="B85" s="58" t="str">
        <f>IFERROR(__xludf.DUMMYFUNCTION("IF(
  OR(C85=""Zajęte"", C85=""Spóźnione""),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5" s="59" t="str">
        <f t="array" ref="C8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5" s="60" t="str">
        <f t="array" ref="D85">IFERROR(
  IF(
    ISBLANK(INDEX(Zestawienie!B:B, MATCH(A85, Zestawienie!A:A, 0))),
    "",
    IF(C85="Wolne",
      IF(
        OR(
          ISBLANK(INDEX(Zestawienie!B:B, MATCH(A85, Zestawienie!A:A, 0))),
          NOT(ISNUMBER(INDEX(Zestawienie!B:B, MATCH(A85, Zestawienie!A:A, 0))))
        ),
        "",
        TODAY()-INDEX(Zestawienie!B:B, MATCH(A85, Zestawienie!A:A, 0))
      ),
      IF(OR(C85="Zajęte", C85="Spóźnione"),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5" s="62"/>
    </row>
    <row r="86">
      <c r="A86" s="57">
        <v>85.0</v>
      </c>
      <c r="B86" s="58" t="str">
        <f>IFERROR(__xludf.DUMMYFUNCTION("IF(
  OR(C86=""Zajęte"", C86=""Spóźnione""),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6" s="59" t="str">
        <f t="array" ref="C8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6" s="60" t="str">
        <f t="array" ref="D86">IFERROR(
  IF(
    ISBLANK(INDEX(Zestawienie!B:B, MATCH(A86, Zestawienie!A:A, 0))),
    "",
    IF(C86="Wolne",
      IF(
        OR(
          ISBLANK(INDEX(Zestawienie!B:B, MATCH(A86, Zestawienie!A:A, 0))),
          NOT(ISNUMBER(INDEX(Zestawienie!B:B, MATCH(A86, Zestawienie!A:A, 0))))
        ),
        "",
        TODAY()-INDEX(Zestawienie!B:B, MATCH(A86, Zestawienie!A:A, 0))
      ),
      IF(OR(C86="Zajęte", C86="Spóźnione"),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6" s="62"/>
    </row>
    <row r="87">
      <c r="A87" s="57">
        <v>86.0</v>
      </c>
      <c r="B87" s="58" t="str">
        <f>IFERROR(__xludf.DUMMYFUNCTION("IF(
  OR(C87=""Zajęte"", C87=""Spóźnione""),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7" s="59" t="str">
        <f t="array" ref="C8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7" s="60" t="str">
        <f t="array" ref="D87">IFERROR(
  IF(
    ISBLANK(INDEX(Zestawienie!B:B, MATCH(A87, Zestawienie!A:A, 0))),
    "",
    IF(C87="Wolne",
      IF(
        OR(
          ISBLANK(INDEX(Zestawienie!B:B, MATCH(A87, Zestawienie!A:A, 0))),
          NOT(ISNUMBER(INDEX(Zestawienie!B:B, MATCH(A87, Zestawienie!A:A, 0))))
        ),
        "",
        TODAY()-INDEX(Zestawienie!B:B, MATCH(A87, Zestawienie!A:A, 0))
      ),
      IF(OR(C87="Zajęte", C87="Spóźnione"),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7" s="62"/>
    </row>
    <row r="88">
      <c r="A88" s="57">
        <v>87.0</v>
      </c>
      <c r="B88" s="58" t="str">
        <f>IFERROR(__xludf.DUMMYFUNCTION("IF(
  OR(C88=""Zajęte"", C88=""Spóźnione""),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8" s="59" t="str">
        <f t="array" ref="C8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8" s="60" t="str">
        <f t="array" ref="D88">IFERROR(
  IF(
    ISBLANK(INDEX(Zestawienie!B:B, MATCH(A88, Zestawienie!A:A, 0))),
    "",
    IF(C88="Wolne",
      IF(
        OR(
          ISBLANK(INDEX(Zestawienie!B:B, MATCH(A88, Zestawienie!A:A, 0))),
          NOT(ISNUMBER(INDEX(Zestawienie!B:B, MATCH(A88, Zestawienie!A:A, 0))))
        ),
        "",
        TODAY()-INDEX(Zestawienie!B:B, MATCH(A88, Zestawienie!A:A, 0))
      ),
      IF(OR(C88="Zajęte", C88="Spóźnione"),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8" s="62"/>
    </row>
    <row r="89">
      <c r="A89" s="57">
        <v>88.0</v>
      </c>
      <c r="B89" s="58" t="str">
        <f>IFERROR(__xludf.DUMMYFUNCTION("IF(
  OR(C89=""Zajęte"", C89=""Spóźnione""),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89" s="59" t="str">
        <f t="array" ref="C8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89" s="60" t="str">
        <f t="array" ref="D89">IFERROR(
  IF(
    ISBLANK(INDEX(Zestawienie!B:B, MATCH(A89, Zestawienie!A:A, 0))),
    "",
    IF(C89="Wolne",
      IF(
        OR(
          ISBLANK(INDEX(Zestawienie!B:B, MATCH(A89, Zestawienie!A:A, 0))),
          NOT(ISNUMBER(INDEX(Zestawienie!B:B, MATCH(A89, Zestawienie!A:A, 0))))
        ),
        "",
        TODAY()-INDEX(Zestawienie!B:B, MATCH(A89, Zestawienie!A:A, 0))
      ),
      IF(OR(C89="Zajęte", C89="Spóźnione"),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IF(C89="Zajęte",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89" s="62"/>
    </row>
    <row r="90">
      <c r="A90" s="57">
        <v>89.0</v>
      </c>
      <c r="B90" s="58" t="str">
        <f>IFERROR(__xludf.DUMMYFUNCTION("IF(
  OR(C90=""Zajęte"", C90=""Spóźnione""),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0" s="59" t="str">
        <f t="array" ref="C9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0" s="60" t="str">
        <f t="array" ref="D90">IFERROR(
  IF(
    ISBLANK(INDEX(Zestawienie!B:B, MATCH(A90, Zestawienie!A:A, 0))),
    "",
    IF(C90="Wolne",
      IF(
        OR(
          ISBLANK(INDEX(Zestawienie!B:B, MATCH(A90, Zestawienie!A:A, 0))),
          NOT(ISNUMBER(INDEX(Zestawienie!B:B, MATCH(A90, Zestawienie!A:A, 0))))
        ),
        "",
        TODAY()-INDEX(Zestawienie!B:B, MATCH(A90, Zestawienie!A:A, 0))
      ),
      IF(OR(C90="Zajęte", C90="Spóźnione"),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90" s="62"/>
    </row>
    <row r="91">
      <c r="A91" s="57">
        <v>90.0</v>
      </c>
      <c r="B91" s="58" t="str">
        <f>IFERROR(__xludf.DUMMYFUNCTION("IF(
  OR(C91=""Zajęte"", C91=""Spóźnione""),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1" s="59" t="str">
        <f t="array" ref="C9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1" s="60" t="str">
        <f t="array" ref="D91">IFERROR(
  IF(
    ISBLANK(INDEX(Zestawienie!B:B, MATCH(A91, Zestawienie!A:A, 0))),
    "",
    IF(C91="Wolne",
      IF(
        OR(
          ISBLANK(INDEX(Zestawienie!B:B, MATCH(A91, Zestawienie!A:A, 0))),
          NOT(ISNUMBER(INDEX(Zestawienie!B:B, MATCH(A91, Zestawienie!A:A, 0))))
        ),
        "",
        TODAY()-INDEX(Zestawienie!B:B, MATCH(A91, Zestawienie!A:A, 0))
      ),
      IF(OR(C91="Zajęte", C91="Spóźnione"),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91" s="62"/>
    </row>
    <row r="92">
      <c r="A92" s="57">
        <v>91.0</v>
      </c>
      <c r="B92" s="58" t="str">
        <f>IFERROR(__xludf.DUMMYFUNCTION("IF(
  OR(C92=""Zajęte"", C92=""Spóźnione""),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2" s="59" t="str">
        <f t="array" ref="C9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2" s="60">
        <f t="array" ref="D92">IFERROR(
  IF(
    ISBLANK(INDEX(Zestawienie!B:B, MATCH(A92, Zestawienie!A:A, 0))),
    "",
    IF(C92="Wolne",
      IF(
        OR(
          ISBLANK(INDEX(Zestawienie!B:B, MATCH(A92, Zestawienie!A:A, 0))),
          NOT(ISNUMBER(INDEX(Zestawienie!B:B, MATCH(A92, Zestawienie!A:A, 0))))
        ),
        "",
        TODAY()-INDEX(Zestawienie!B:B, MATCH(A92, Zestawienie!A:A, 0))
      ),
      IF(OR(C92="Zajęte", C92="Spóźnione"),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99</v>
      </c>
      <c r="E92" s="62"/>
    </row>
    <row r="93">
      <c r="A93" s="57">
        <v>92.0</v>
      </c>
      <c r="B93" s="58" t="str">
        <f>IFERROR(__xludf.DUMMYFUNCTION("IF(
  OR(C93=""Zajęte"", C93=""Spóźnione""),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"),"Duda Małgorzata")</f>
        <v>Duda Małgorzata</v>
      </c>
      <c r="C93" s="59" t="str">
        <f t="array" ref="C9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93" s="60">
        <f t="array" ref="D93">IFERROR(
  IF(
    ISBLANK(INDEX(Zestawienie!B:B, MATCH(A93, Zestawienie!A:A, 0))),
    "",
    IF(C93="Wolne",
      IF(
        OR(
          ISBLANK(INDEX(Zestawienie!B:B, MATCH(A93, Zestawienie!A:A, 0))),
          NOT(ISNUMBER(INDEX(Zestawienie!B:B, MATCH(A93, Zestawienie!A:A, 0))))
        ),
        "",
        TODAY()-INDEX(Zestawienie!B:B, MATCH(A93, Zestawienie!A:A, 0))
      ),
      IF(OR(C93="Zajęte", C93="Spóźnione"),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v>
      </c>
      <c r="E93" s="62"/>
    </row>
    <row r="94">
      <c r="A94" s="57">
        <v>93.0</v>
      </c>
      <c r="B94" s="58" t="str">
        <f>IFERROR(__xludf.DUMMYFUNCTION("IF(
  OR(C94=""Zajęte"", C94=""Spóźnione""),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4" s="59" t="str">
        <f t="array" ref="C9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4" s="60">
        <f t="array" ref="D94">IFERROR(
  IF(
    ISBLANK(INDEX(Zestawienie!B:B, MATCH(A94, Zestawienie!A:A, 0))),
    "",
    IF(C94="Wolne",
      IF(
        OR(
          ISBLANK(INDEX(Zestawienie!B:B, MATCH(A94, Zestawienie!A:A, 0))),
          NOT(ISNUMBER(INDEX(Zestawienie!B:B, MATCH(A94, Zestawienie!A:A, 0))))
        ),
        "",
        TODAY()-INDEX(Zestawienie!B:B, MATCH(A94, Zestawienie!A:A, 0))
      ),
      IF(OR(C94="Zajęte", C94="Spóźnione"),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130</v>
      </c>
      <c r="E94" s="62"/>
    </row>
    <row r="95">
      <c r="A95" s="57">
        <v>94.0</v>
      </c>
      <c r="B95" s="58" t="str">
        <f>IFERROR(__xludf.DUMMYFUNCTION("IF(
  OR(C95=""Zajęte"", C95=""Spóźnione""),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5" s="59" t="str">
        <f t="array" ref="C9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5" s="60">
        <f t="array" ref="D95">IFERROR(
  IF(
    ISBLANK(INDEX(Zestawienie!B:B, MATCH(A95, Zestawienie!A:A, 0))),
    "",
    IF(C95="Wolne",
      IF(
        OR(
          ISBLANK(INDEX(Zestawienie!B:B, MATCH(A95, Zestawienie!A:A, 0))),
          NOT(ISNUMBER(INDEX(Zestawienie!B:B, MATCH(A95, Zestawienie!A:A, 0))))
        ),
        "",
        TODAY()-INDEX(Zestawienie!B:B, MATCH(A95, Zestawienie!A:A, 0))
      ),
      IF(OR(C95="Zajęte", C95="Spóźnione"),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99</v>
      </c>
      <c r="E95" s="62"/>
    </row>
    <row r="96">
      <c r="A96" s="57">
        <v>95.0</v>
      </c>
      <c r="B96" s="58" t="str">
        <f>IFERROR(__xludf.DUMMYFUNCTION("IF(
  OR(C96=""Zajęte"", C96=""Spóźnione""),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6" s="59" t="str">
        <f t="array" ref="C9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6" s="60">
        <f t="array" ref="D96">IFERROR(
  IF(
    ISBLANK(INDEX(Zestawienie!B:B, MATCH(A96, Zestawienie!A:A, 0))),
    "",
    IF(C96="Wolne",
      IF(
        OR(
          ISBLANK(INDEX(Zestawienie!B:B, MATCH(A96, Zestawienie!A:A, 0))),
          NOT(ISNUMBER(INDEX(Zestawienie!B:B, MATCH(A96, Zestawienie!A:A, 0))))
        ),
        "",
        TODAY()-INDEX(Zestawienie!B:B, MATCH(A96, Zestawienie!A:A, 0))
      ),
      IF(OR(C96="Zajęte", C96="Spóźnione"),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552</v>
      </c>
      <c r="E96" s="62"/>
    </row>
    <row r="97">
      <c r="A97" s="57">
        <v>96.0</v>
      </c>
      <c r="B97" s="58" t="str">
        <f>IFERROR(__xludf.DUMMYFUNCTION("IF(
  OR(C97=""Zajęte"", C97=""Spóźnione""),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"),"Winnicka Małgorzata")</f>
        <v>Winnicka Małgorzata</v>
      </c>
      <c r="C97" s="59" t="str">
        <f t="array" ref="C9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97" s="60">
        <f t="array" ref="D97">IFERROR(
  IF(
    ISBLANK(INDEX(Zestawienie!B:B, MATCH(A97, Zestawienie!A:A, 0))),
    "",
    IF(C97="Wolne",
      IF(
        OR(
          ISBLANK(INDEX(Zestawienie!B:B, MATCH(A97, Zestawienie!A:A, 0))),
          NOT(ISNUMBER(INDEX(Zestawienie!B:B, MATCH(A97, Zestawienie!A:A, 0))))
        ),
        "",
        TODAY()-INDEX(Zestawienie!B:B, MATCH(A97, Zestawienie!A:A, 0))
      ),
      IF(OR(C97="Zajęte", C97="Spóźnione"),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55</v>
      </c>
      <c r="E97" s="62"/>
    </row>
    <row r="98">
      <c r="A98" s="57">
        <v>97.0</v>
      </c>
      <c r="B98" s="58" t="str">
        <f>IFERROR(__xludf.DUMMYFUNCTION("IF(
  OR(C98=""Zajęte"", C98=""Spóźnione""),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8" s="59" t="str">
        <f t="array" ref="C9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8" s="60" t="str">
        <f t="array" ref="D98">IFERROR(
  IF(
    ISBLANK(INDEX(Zestawienie!B:B, MATCH(A98, Zestawienie!A:A, 0))),
    "",
    IF(C98="Wolne",
      IF(
        OR(
          ISBLANK(INDEX(Zestawienie!B:B, MATCH(A98, Zestawienie!A:A, 0))),
          NOT(ISNUMBER(INDEX(Zestawienie!B:B, MATCH(A98, Zestawienie!A:A, 0))))
        ),
        "",
        TODAY()-INDEX(Zestawienie!B:B, MATCH(A98, Zestawienie!A:A, 0))
      ),
      IF(OR(C98="Zajęte", C98="Spóźnione"),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98" s="62"/>
    </row>
    <row r="99">
      <c r="A99" s="57">
        <v>98.0</v>
      </c>
      <c r="B99" s="58" t="str">
        <f>IFERROR(__xludf.DUMMYFUNCTION("IF(
  OR(C99=""Zajęte"", C99=""Spóźnione""),
  IFERROR(
    INDEX(
      FILTER(
        {
          INDEX(Zestawienie!K:K, ROW()*2);
          INDEX(Zestawienie!I:I, ROW()*2);
          INDEX(Zestawienie!G:G, ROW()*2);
          INDEX(Zestawienie!E:E, RO"&amp;"W()*2);
          INDEX(Zestawienie!C:C, ROW()*2)
        },
        {
          INDEX(Zestawienie!K:K, ROW()*2)&lt;&gt;"""" ;
          INDEX(Zestawienie!I:I, ROW()*2)&lt;&gt;"""" ;
          INDEX(Zestawienie!G:G, ROW()*2)&lt;&gt;"""" ;
          INDEX(Zestawienie!E:E, R"&amp;"OW()*2)&lt;&gt;"""" ;
          INDEX(Zestawienie!C:C, ROW()*2)&lt;&gt;""""
        }
      ),
      1
    ),
    """"
  ),
  """"
)
"),"")</f>
        <v/>
      </c>
      <c r="C99" s="59" t="str">
        <f t="array" ref="C9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99" s="60" t="str">
        <f t="array" ref="D99">IFERROR(
  IF(
    ISBLANK(INDEX(Zestawienie!B:B, MATCH(A99, Zestawienie!A:A, 0))),
    "",
    IF(C99="Wolne",
      IF(
        OR(
          ISBLANK(INDEX(Zestawienie!B:B, MATCH(A99, Zestawienie!A:A, 0))),
          NOT(ISNUMBER(INDEX(Zestawienie!B:B, MATCH(A99, Zestawienie!A:A, 0))))
        ),
        "",
        TODAY()-INDEX(Zestawienie!B:B, MATCH(A99, Zestawienie!A:A, 0))
      ),
      IF(OR(C99="Zajęte", C99="Spóźnione"),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IF(C99="Zajęte",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99" s="62"/>
    </row>
    <row r="100">
      <c r="A100" s="57">
        <v>99.0</v>
      </c>
      <c r="B100" s="58" t="str">
        <f>IFERROR(__xludf.DUMMYFUNCTION("IF(
  OR(C100=""Zajęte"", C100=""Spóźnione""),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0" s="59" t="str">
        <f t="array" ref="C10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0" s="60" t="str">
        <f t="array" ref="D100">IFERROR(
  IF(
    ISBLANK(INDEX(Zestawienie!B:B, MATCH(A100, Zestawienie!A:A, 0))),
    "",
    IF(C100="Wolne",
      IF(
        OR(
          ISBLANK(INDEX(Zestawienie!B:B, MATCH(A100, Zestawienie!A:A, 0))),
          NOT(ISNUMBER(INDEX(Zestawienie!B:B, MATCH(A100, Zestawienie!A:A, 0))))
        ),
        "",
        TODAY()-INDEX(Zestawienie!B:B, MATCH(A100, Zestawienie!A:A, 0))
      ),
      IF(OR(C100="Zajęte", C100="Spóźnione"),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100" s="62"/>
    </row>
    <row r="101">
      <c r="A101" s="57">
        <v>100.0</v>
      </c>
      <c r="B101" s="58" t="str">
        <f>IFERROR(__xludf.DUMMYFUNCTION("IF(
  OR(C101=""Zajęte"", C101=""Spóźnione""),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1" s="59" t="str">
        <f t="array" ref="C10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1" s="60" t="str">
        <f t="array" ref="D101">IFERROR(
  IF(
    ISBLANK(INDEX(Zestawienie!B:B, MATCH(A101, Zestawienie!A:A, 0))),
    "",
    IF(C101="Wolne",
      IF(
        OR(
          ISBLANK(INDEX(Zestawienie!B:B, MATCH(A101, Zestawienie!A:A, 0))),
          NOT(ISNUMBER(INDEX(Zestawienie!B:B, MATCH(A101, Zestawienie!A:A, 0))))
        ),
        "",
        TODAY()-INDEX(Zestawienie!B:B, MATCH(A101, Zestawienie!A:A, 0))
      ),
      IF(OR(C101="Zajęte", C101="Spóźnione"),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101" s="62"/>
    </row>
    <row r="102">
      <c r="A102" s="57">
        <v>101.0</v>
      </c>
      <c r="B102" s="58" t="str">
        <f>IFERROR(__xludf.DUMMYFUNCTION("IF(
  OR(C102=""Zajęte"", C102=""Spóźnione""),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2" s="59" t="str">
        <f t="array" ref="C10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2" s="60">
        <f t="array" ref="D102">IFERROR(
  IF(
    ISBLANK(INDEX(Zestawienie!B:B, MATCH(A102, Zestawienie!A:A, 0))),
    "",
    IF(C102="Wolne",
      IF(
        OR(
          ISBLANK(INDEX(Zestawienie!B:B, MATCH(A102, Zestawienie!A:A, 0))),
          NOT(ISNUMBER(INDEX(Zestawienie!B:B, MATCH(A102, Zestawienie!A:A, 0))))
        ),
        "",
        TODAY()-INDEX(Zestawienie!B:B, MATCH(A102, Zestawienie!A:A, 0))
      ),
      IF(OR(C102="Zajęte", C102="Spóźnione"),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157</v>
      </c>
      <c r="E102" s="62"/>
    </row>
    <row r="103">
      <c r="A103" s="57">
        <v>102.0</v>
      </c>
      <c r="B103" s="58" t="str">
        <f>IFERROR(__xludf.DUMMYFUNCTION("IF(
  OR(C103=""Zajęte"", C103=""Spóźnione""),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3" s="59" t="str">
        <f t="array" ref="C10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3" s="60">
        <f t="array" ref="D103">IFERROR(
  IF(
    ISBLANK(INDEX(Zestawienie!B:B, MATCH(A103, Zestawienie!A:A, 0))),
    "",
    IF(C103="Wolne",
      IF(
        OR(
          ISBLANK(INDEX(Zestawienie!B:B, MATCH(A103, Zestawienie!A:A, 0))),
          NOT(ISNUMBER(INDEX(Zestawienie!B:B, MATCH(A103, Zestawienie!A:A, 0))))
        ),
        "",
        TODAY()-INDEX(Zestawienie!B:B, MATCH(A103, Zestawienie!A:A, 0))
      ),
      IF(OR(C103="Zajęte", C103="Spóźnione"),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107</v>
      </c>
      <c r="E103" s="62"/>
    </row>
    <row r="104">
      <c r="A104" s="57">
        <v>103.0</v>
      </c>
      <c r="B104" s="58" t="str">
        <f>IFERROR(__xludf.DUMMYFUNCTION("IF(
  OR(C104=""Zajęte"", C104=""Spóźnione""),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4" s="59" t="str">
        <f t="array" ref="C10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4" s="60">
        <f t="array" ref="D104">IFERROR(
  IF(
    ISBLANK(INDEX(Zestawienie!B:B, MATCH(A104, Zestawienie!A:A, 0))),
    "",
    IF(C104="Wolne",
      IF(
        OR(
          ISBLANK(INDEX(Zestawienie!B:B, MATCH(A104, Zestawienie!A:A, 0))),
          NOT(ISNUMBER(INDEX(Zestawienie!B:B, MATCH(A104, Zestawienie!A:A, 0))))
        ),
        "",
        TODAY()-INDEX(Zestawienie!B:B, MATCH(A104, Zestawienie!A:A, 0))
      ),
      IF(OR(C104="Zajęte", C104="Spóźnione"),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50</v>
      </c>
      <c r="E104" s="62"/>
    </row>
    <row r="105">
      <c r="A105" s="57">
        <v>104.0</v>
      </c>
      <c r="B105" s="58" t="str">
        <f>IFERROR(__xludf.DUMMYFUNCTION("IF(
  OR(C105=""Zajęte"", C105=""Spóźnione""),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5" s="59" t="str">
        <f t="array" ref="C10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5" s="60">
        <f t="array" ref="D105">IFERROR(
  IF(
    ISBLANK(INDEX(Zestawienie!B:B, MATCH(A105, Zestawienie!A:A, 0))),
    "",
    IF(C105="Wolne",
      IF(
        OR(
          ISBLANK(INDEX(Zestawienie!B:B, MATCH(A105, Zestawienie!A:A, 0))),
          NOT(ISNUMBER(INDEX(Zestawienie!B:B, MATCH(A105, Zestawienie!A:A, 0))))
        ),
        "",
        TODAY()-INDEX(Zestawienie!B:B, MATCH(A105, Zestawienie!A:A, 0))
      ),
      IF(OR(C105="Zajęte", C105="Spóźnione"),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105" s="62"/>
    </row>
    <row r="106">
      <c r="A106" s="57">
        <v>105.0</v>
      </c>
      <c r="B106" s="58" t="str">
        <f>IFERROR(__xludf.DUMMYFUNCTION("IF(
  OR(C106=""Zajęte"", C106=""Spóźnione""),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6" s="59" t="str">
        <f t="array" ref="C10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6" s="60">
        <f t="array" ref="D106">IFERROR(
  IF(
    ISBLANK(INDEX(Zestawienie!B:B, MATCH(A106, Zestawienie!A:A, 0))),
    "",
    IF(C106="Wolne",
      IF(
        OR(
          ISBLANK(INDEX(Zestawienie!B:B, MATCH(A106, Zestawienie!A:A, 0))),
          NOT(ISNUMBER(INDEX(Zestawienie!B:B, MATCH(A106, Zestawienie!A:A, 0))))
        ),
        "",
        TODAY()-INDEX(Zestawienie!B:B, MATCH(A106, Zestawienie!A:A, 0))
      ),
      IF(OR(C106="Zajęte", C106="Spóźnione"),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301</v>
      </c>
      <c r="E106" s="62"/>
    </row>
    <row r="107">
      <c r="A107" s="57">
        <v>106.0</v>
      </c>
      <c r="B107" s="58" t="str">
        <f>IFERROR(__xludf.DUMMYFUNCTION("IF(
  OR(C107=""Zajęte"", C107=""Spóźnione""),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Aleksandra")</f>
        <v>Olender Aleksandra</v>
      </c>
      <c r="C107" s="59" t="str">
        <f t="array" ref="C10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07" s="60">
        <f t="array" ref="D107">IFERROR(
  IF(
    ISBLANK(INDEX(Zestawienie!B:B, MATCH(A107, Zestawienie!A:A, 0))),
    "",
    IF(C107="Wolne",
      IF(
        OR(
          ISBLANK(INDEX(Zestawienie!B:B, MATCH(A107, Zestawienie!A:A, 0))),
          NOT(ISNUMBER(INDEX(Zestawienie!B:B, MATCH(A107, Zestawienie!A:A, 0))))
        ),
        "",
        TODAY()-INDEX(Zestawienie!B:B, MATCH(A107, Zestawienie!A:A, 0))
      ),
      IF(OR(C107="Zajęte", C107="Spóźnione"),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v>
      </c>
      <c r="E107" s="62"/>
    </row>
    <row r="108">
      <c r="A108" s="57">
        <v>107.0</v>
      </c>
      <c r="B108" s="58" t="str">
        <f>IFERROR(__xludf.DUMMYFUNCTION("IF(
  OR(C108=""Zajęte"", C108=""Spóźnione""),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8" s="59" t="str">
        <f t="array" ref="C10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8" s="60">
        <f t="array" ref="D108">IFERROR(
  IF(
    ISBLANK(INDEX(Zestawienie!B:B, MATCH(A108, Zestawienie!A:A, 0))),
    "",
    IF(C108="Wolne",
      IF(
        OR(
          ISBLANK(INDEX(Zestawienie!B:B, MATCH(A108, Zestawienie!A:A, 0))),
          NOT(ISNUMBER(INDEX(Zestawienie!B:B, MATCH(A108, Zestawienie!A:A, 0))))
        ),
        "",
        TODAY()-INDEX(Zestawienie!B:B, MATCH(A108, Zestawienie!A:A, 0))
      ),
      IF(OR(C108="Zajęte", C108="Spóźnione"),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218</v>
      </c>
      <c r="E108" s="62"/>
    </row>
    <row r="109">
      <c r="A109" s="57">
        <v>108.0</v>
      </c>
      <c r="B109" s="58" t="str">
        <f>IFERROR(__xludf.DUMMYFUNCTION("IF(
  OR(C109=""Zajęte"", C109=""Spóźnione""),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09" s="59" t="str">
        <f t="array" ref="C10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09" s="60">
        <f t="array" ref="D109">IFERROR(
  IF(
    ISBLANK(INDEX(Zestawienie!B:B, MATCH(A109, Zestawienie!A:A, 0))),
    "",
    IF(C109="Wolne",
      IF(
        OR(
          ISBLANK(INDEX(Zestawienie!B:B, MATCH(A109, Zestawienie!A:A, 0))),
          NOT(ISNUMBER(INDEX(Zestawienie!B:B, MATCH(A109, Zestawienie!A:A, 0))))
        ),
        "",
        TODAY()-INDEX(Zestawienie!B:B, MATCH(A109, Zestawienie!A:A, 0))
      ),
      IF(OR(C109="Zajęte", C109="Spóźnione"),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IF(C109="Zajęte",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109" s="62"/>
    </row>
    <row r="110">
      <c r="A110" s="57">
        <v>109.0</v>
      </c>
      <c r="B110" s="58" t="str">
        <f>IFERROR(__xludf.DUMMYFUNCTION("IF(
  OR(C110=""Zajęte"", C110=""Spóźnione""),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0" s="59" t="str">
        <f t="array" ref="C11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0" s="60">
        <f t="array" ref="D110">IFERROR(
  IF(
    ISBLANK(INDEX(Zestawienie!B:B, MATCH(A110, Zestawienie!A:A, 0))),
    "",
    IF(C110="Wolne",
      IF(
        OR(
          ISBLANK(INDEX(Zestawienie!B:B, MATCH(A110, Zestawienie!A:A, 0))),
          NOT(ISNUMBER(INDEX(Zestawienie!B:B, MATCH(A110, Zestawienie!A:A, 0))))
        ),
        "",
        TODAY()-INDEX(Zestawienie!B:B, MATCH(A110, Zestawienie!A:A, 0))
      ),
      IF(OR(C110="Zajęte", C110="Spóźnione"),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50</v>
      </c>
      <c r="E110" s="62"/>
    </row>
    <row r="111">
      <c r="A111" s="57">
        <v>110.0</v>
      </c>
      <c r="B111" s="58" t="str">
        <f>IFERROR(__xludf.DUMMYFUNCTION("IF(
  OR(C111=""Zajęte"", C111=""Spóźnione""),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1" s="59" t="str">
        <f t="array" ref="C11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1" s="60">
        <f t="array" ref="D111">IFERROR(
  IF(
    ISBLANK(INDEX(Zestawienie!B:B, MATCH(A111, Zestawienie!A:A, 0))),
    "",
    IF(C111="Wolne",
      IF(
        OR(
          ISBLANK(INDEX(Zestawienie!B:B, MATCH(A111, Zestawienie!A:A, 0))),
          NOT(ISNUMBER(INDEX(Zestawienie!B:B, MATCH(A111, Zestawienie!A:A, 0))))
        ),
        "",
        TODAY()-INDEX(Zestawienie!B:B, MATCH(A111, Zestawienie!A:A, 0))
      ),
      IF(OR(C111="Zajęte", C111="Spóźnione"),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v>
      </c>
      <c r="E111" s="62"/>
    </row>
    <row r="112">
      <c r="A112" s="57">
        <v>111.0</v>
      </c>
      <c r="B112" s="58" t="str">
        <f>IFERROR(__xludf.DUMMYFUNCTION("IF(
  OR(C112=""Zajęte"", C112=""Spóźnione""),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2" s="59" t="str">
        <f t="array" ref="C11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2" s="60">
        <f t="array" ref="D112">IFERROR(
  IF(
    ISBLANK(INDEX(Zestawienie!B:B, MATCH(A112, Zestawienie!A:A, 0))),
    "",
    IF(C112="Wolne",
      IF(
        OR(
          ISBLANK(INDEX(Zestawienie!B:B, MATCH(A112, Zestawienie!A:A, 0))),
          NOT(ISNUMBER(INDEX(Zestawienie!B:B, MATCH(A112, Zestawienie!A:A, 0))))
        ),
        "",
        TODAY()-INDEX(Zestawienie!B:B, MATCH(A112, Zestawienie!A:A, 0))
      ),
      IF(OR(C112="Zajęte", C112="Spóźnione"),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302</v>
      </c>
      <c r="E112" s="62"/>
    </row>
    <row r="113">
      <c r="A113" s="57">
        <v>112.0</v>
      </c>
      <c r="B113" s="58" t="str">
        <f>IFERROR(__xludf.DUMMYFUNCTION("IF(
  OR(C113=""Zajęte"", C113=""Spóźnione""),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"),"Słupski Michał")</f>
        <v>Słupski Michał</v>
      </c>
      <c r="C113" s="59" t="str">
        <f t="array" ref="C11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13" s="60">
        <f t="array" ref="D113">IFERROR(
  IF(
    ISBLANK(INDEX(Zestawienie!B:B, MATCH(A113, Zestawienie!A:A, 0))),
    "",
    IF(C113="Wolne",
      IF(
        OR(
          ISBLANK(INDEX(Zestawienie!B:B, MATCH(A113, Zestawienie!A:A, 0))),
          NOT(ISNUMBER(INDEX(Zestawienie!B:B, MATCH(A113, Zestawienie!A:A, 0))))
        ),
        "",
        TODAY()-INDEX(Zestawienie!B:B, MATCH(A113, Zestawienie!A:A, 0))
      ),
      IF(OR(C113="Zajęte", C113="Spóźnione"),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113" s="62"/>
    </row>
    <row r="114">
      <c r="A114" s="57">
        <v>113.0</v>
      </c>
      <c r="B114" s="58" t="str">
        <f>IFERROR(__xludf.DUMMYFUNCTION("IF(
  OR(C114=""Zajęte"", C114=""Spóźnione""),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4" s="59" t="str">
        <f t="array" ref="C11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4" s="60">
        <f t="array" ref="D114">IFERROR(
  IF(
    ISBLANK(INDEX(Zestawienie!B:B, MATCH(A114, Zestawienie!A:A, 0))),
    "",
    IF(C114="Wolne",
      IF(
        OR(
          ISBLANK(INDEX(Zestawienie!B:B, MATCH(A114, Zestawienie!A:A, 0))),
          NOT(ISNUMBER(INDEX(Zestawienie!B:B, MATCH(A114, Zestawienie!A:A, 0))))
        ),
        "",
        TODAY()-INDEX(Zestawienie!B:B, MATCH(A114, Zestawienie!A:A, 0))
      ),
      IF(OR(C114="Zajęte", C114="Spóźnione"),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64</v>
      </c>
      <c r="E114" s="62"/>
    </row>
    <row r="115">
      <c r="A115" s="57">
        <v>114.0</v>
      </c>
      <c r="B115" s="58" t="str">
        <f>IFERROR(__xludf.DUMMYFUNCTION("IF(
  OR(C115=""Zajęte"", C115=""Spóźnione""),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5" s="59" t="str">
        <f t="array" ref="C11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5" s="60">
        <f t="array" ref="D115">IFERROR(
  IF(
    ISBLANK(INDEX(Zestawienie!B:B, MATCH(A115, Zestawienie!A:A, 0))),
    "",
    IF(C115="Wolne",
      IF(
        OR(
          ISBLANK(INDEX(Zestawienie!B:B, MATCH(A115, Zestawienie!A:A, 0))),
          NOT(ISNUMBER(INDEX(Zestawienie!B:B, MATCH(A115, Zestawienie!A:A, 0))))
        ),
        "",
        TODAY()-INDEX(Zestawienie!B:B, MATCH(A115, Zestawienie!A:A, 0))
      ),
      IF(OR(C115="Zajęte", C115="Spóźnione"),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86</v>
      </c>
      <c r="E115" s="62"/>
    </row>
    <row r="116">
      <c r="A116" s="57">
        <v>115.0</v>
      </c>
      <c r="B116" s="58" t="str">
        <f>IFERROR(__xludf.DUMMYFUNCTION("IF(
  OR(C116=""Zajęte"", C116=""Spóźnione""),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6" s="59" t="str">
        <f t="array" ref="C11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6" s="60">
        <f t="array" ref="D116">IFERROR(
  IF(
    ISBLANK(INDEX(Zestawienie!B:B, MATCH(A116, Zestawienie!A:A, 0))),
    "",
    IF(C116="Wolne",
      IF(
        OR(
          ISBLANK(INDEX(Zestawienie!B:B, MATCH(A116, Zestawienie!A:A, 0))),
          NOT(ISNUMBER(INDEX(Zestawienie!B:B, MATCH(A116, Zestawienie!A:A, 0))))
        ),
        "",
        TODAY()-INDEX(Zestawienie!B:B, MATCH(A116, Zestawienie!A:A, 0))
      ),
      IF(OR(C116="Zajęte", C116="Spóźnione"),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130</v>
      </c>
      <c r="E116" s="62"/>
    </row>
    <row r="117">
      <c r="A117" s="57">
        <v>116.0</v>
      </c>
      <c r="B117" s="58" t="str">
        <f>IFERROR(__xludf.DUMMYFUNCTION("IF(
  OR(C117=""Zajęte"", C117=""Spóźnione""),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7" s="59" t="str">
        <f t="array" ref="C11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7" s="60">
        <f t="array" ref="D117">IFERROR(
  IF(
    ISBLANK(INDEX(Zestawienie!B:B, MATCH(A117, Zestawienie!A:A, 0))),
    "",
    IF(C117="Wolne",
      IF(
        OR(
          ISBLANK(INDEX(Zestawienie!B:B, MATCH(A117, Zestawienie!A:A, 0))),
          NOT(ISNUMBER(INDEX(Zestawienie!B:B, MATCH(A117, Zestawienie!A:A, 0))))
        ),
        "",
        TODAY()-INDEX(Zestawienie!B:B, MATCH(A117, Zestawienie!A:A, 0))
      ),
      IF(OR(C117="Zajęte", C117="Spóźnione"),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130</v>
      </c>
      <c r="E117" s="62"/>
    </row>
    <row r="118">
      <c r="A118" s="57">
        <v>117.0</v>
      </c>
      <c r="B118" s="58" t="str">
        <f>IFERROR(__xludf.DUMMYFUNCTION("IF(
  OR(C118=""Zajęte"", C118=""Spóźnione""),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8" s="59" t="str">
        <f t="array" ref="C11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8" s="60">
        <f t="array" ref="D118">IFERROR(
  IF(
    ISBLANK(INDEX(Zestawienie!B:B, MATCH(A118, Zestawienie!A:A, 0))),
    "",
    IF(C118="Wolne",
      IF(
        OR(
          ISBLANK(INDEX(Zestawienie!B:B, MATCH(A118, Zestawienie!A:A, 0))),
          NOT(ISNUMBER(INDEX(Zestawienie!B:B, MATCH(A118, Zestawienie!A:A, 0))))
        ),
        "",
        TODAY()-INDEX(Zestawienie!B:B, MATCH(A118, Zestawienie!A:A, 0))
      ),
      IF(OR(C118="Zajęte", C118="Spóźnione"),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v>
      </c>
      <c r="E118" s="62"/>
    </row>
    <row r="119">
      <c r="A119" s="57">
        <v>118.0</v>
      </c>
      <c r="B119" s="58" t="str">
        <f>IFERROR(__xludf.DUMMYFUNCTION("IF(
  OR(C119=""Zajęte"", C119=""Spóźnione""),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19" s="59" t="str">
        <f t="array" ref="C11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19" s="60">
        <f t="array" ref="D119">IFERROR(
  IF(
    ISBLANK(INDEX(Zestawienie!B:B, MATCH(A119, Zestawienie!A:A, 0))),
    "",
    IF(C119="Wolne",
      IF(
        OR(
          ISBLANK(INDEX(Zestawienie!B:B, MATCH(A119, Zestawienie!A:A, 0))),
          NOT(ISNUMBER(INDEX(Zestawienie!B:B, MATCH(A119, Zestawienie!A:A, 0))))
        ),
        "",
        TODAY()-INDEX(Zestawienie!B:B, MATCH(A119, Zestawienie!A:A, 0))
      ),
      IF(OR(C119="Zajęte", C119="Spóźnione"),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IF(C119="Zajęte",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119" s="62"/>
    </row>
    <row r="120">
      <c r="A120" s="57">
        <v>119.0</v>
      </c>
      <c r="B120" s="58" t="str">
        <f>IFERROR(__xludf.DUMMYFUNCTION("IF(
  OR(C120=""Zajęte"", C120=""Spóźnione""),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20" s="59" t="str">
        <f t="array" ref="C12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0" s="60">
        <f t="array" ref="D120">IFERROR(
  IF(
    ISBLANK(INDEX(Zestawienie!B:B, MATCH(A120, Zestawienie!A:A, 0))),
    "",
    IF(C120="Wolne",
      IF(
        OR(
          ISBLANK(INDEX(Zestawienie!B:B, MATCH(A120, Zestawienie!A:A, 0))),
          NOT(ISNUMBER(INDEX(Zestawienie!B:B, MATCH(A120, Zestawienie!A:A, 0))))
        ),
        "",
        TODAY()-INDEX(Zestawienie!B:B, MATCH(A120, Zestawienie!A:A, 0))
      ),
      IF(OR(C120="Zajęte", C120="Spóźnione"),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130</v>
      </c>
      <c r="E120" s="62"/>
    </row>
    <row r="121">
      <c r="A121" s="57">
        <v>120.0</v>
      </c>
      <c r="B121" s="58" t="str">
        <f>IFERROR(__xludf.DUMMYFUNCTION("IF(
  OR(C121=""Zajęte"", C121=""Spóźnione""),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21" s="59" t="str">
        <f t="array" ref="C12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1" s="60">
        <f t="array" ref="D121">IFERROR(
  IF(
    ISBLANK(INDEX(Zestawienie!B:B, MATCH(A121, Zestawienie!A:A, 0))),
    "",
    IF(C121="Wolne",
      IF(
        OR(
          ISBLANK(INDEX(Zestawienie!B:B, MATCH(A121, Zestawienie!A:A, 0))),
          NOT(ISNUMBER(INDEX(Zestawienie!B:B, MATCH(A121, Zestawienie!A:A, 0))))
        ),
        "",
        TODAY()-INDEX(Zestawienie!B:B, MATCH(A121, Zestawienie!A:A, 0))
      ),
      IF(OR(C121="Zajęte", C121="Spóźnione"),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227</v>
      </c>
      <c r="E121" s="62"/>
    </row>
    <row r="122">
      <c r="A122" s="57">
        <v>121.0</v>
      </c>
      <c r="B122" s="58" t="str">
        <f>IFERROR(__xludf.DUMMYFUNCTION("IF(
  OR(C122=""Zajęte"", C122=""Spóźnione""),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"),"Pieśniewski Kazimierz")</f>
        <v>Pieśniewski Kazimierz</v>
      </c>
      <c r="C122" s="59" t="str">
        <f t="array" ref="C12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22" s="60">
        <f t="array" ref="D122">IFERROR(
  IF(
    ISBLANK(INDEX(Zestawienie!B:B, MATCH(A122, Zestawienie!A:A, 0))),
    "",
    IF(C122="Wolne",
      IF(
        OR(
          ISBLANK(INDEX(Zestawienie!B:B, MATCH(A122, Zestawienie!A:A, 0))),
          NOT(ISNUMBER(INDEX(Zestawienie!B:B, MATCH(A122, Zestawienie!A:A, 0))))
        ),
        "",
        TODAY()-INDEX(Zestawienie!B:B, MATCH(A122, Zestawienie!A:A, 0))
      ),
      IF(OR(C122="Zajęte", C122="Spóźnione"),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43</v>
      </c>
      <c r="E122" s="62"/>
    </row>
    <row r="123">
      <c r="A123" s="57">
        <v>122.0</v>
      </c>
      <c r="B123" s="58" t="str">
        <f>IFERROR(__xludf.DUMMYFUNCTION("IF(
  OR(C123=""Zajęte"", C123=""Spóźnione""),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Szymon")</f>
        <v>Olender Szymon</v>
      </c>
      <c r="C123" s="59" t="str">
        <f t="array" ref="C12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23" s="60">
        <f t="array" ref="D123">IFERROR(
  IF(
    ISBLANK(INDEX(Zestawienie!B:B, MATCH(A123, Zestawienie!A:A, 0))),
    "",
    IF(C123="Wolne",
      IF(
        OR(
          ISBLANK(INDEX(Zestawienie!B:B, MATCH(A123, Zestawienie!A:A, 0))),
          NOT(ISNUMBER(INDEX(Zestawienie!B:B, MATCH(A123, Zestawienie!A:A, 0))))
        ),
        "",
        TODAY()-INDEX(Zestawienie!B:B, MATCH(A123, Zestawienie!A:A, 0))
      ),
      IF(OR(C123="Zajęte", C123="Spóźnione"),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64</v>
      </c>
      <c r="E123" s="62"/>
    </row>
    <row r="124">
      <c r="A124" s="57">
        <v>123.0</v>
      </c>
      <c r="B124" s="58" t="str">
        <f>IFERROR(__xludf.DUMMYFUNCTION("IF(
  OR(C124=""Zajęte"", C124=""Spóźnione""),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Hanna")</f>
        <v>Olender Hanna</v>
      </c>
      <c r="C124" s="59" t="str">
        <f t="array" ref="C12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24" s="60">
        <f t="array" ref="D124">IFERROR(
  IF(
    ISBLANK(INDEX(Zestawienie!B:B, MATCH(A124, Zestawienie!A:A, 0))),
    "",
    IF(C124="Wolne",
      IF(
        OR(
          ISBLANK(INDEX(Zestawienie!B:B, MATCH(A124, Zestawienie!A:A, 0))),
          NOT(ISNUMBER(INDEX(Zestawienie!B:B, MATCH(A124, Zestawienie!A:A, 0))))
        ),
        "",
        TODAY()-INDEX(Zestawienie!B:B, MATCH(A124, Zestawienie!A:A, 0))
      ),
      IF(OR(C124="Zajęte", C124="Spóźnione"),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124" s="62"/>
    </row>
    <row r="125">
      <c r="A125" s="57">
        <v>124.0</v>
      </c>
      <c r="B125" s="58" t="str">
        <f>IFERROR(__xludf.DUMMYFUNCTION("IF(
  OR(C125=""Zajęte"", C125=""Spóźnione""),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25" s="59" t="str">
        <f t="array" ref="C12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5" s="60">
        <f t="array" ref="D125">IFERROR(
  IF(
    ISBLANK(INDEX(Zestawienie!B:B, MATCH(A125, Zestawienie!A:A, 0))),
    "",
    IF(C125="Wolne",
      IF(
        OR(
          ISBLANK(INDEX(Zestawienie!B:B, MATCH(A125, Zestawienie!A:A, 0))),
          NOT(ISNUMBER(INDEX(Zestawienie!B:B, MATCH(A125, Zestawienie!A:A, 0))))
        ),
        "",
        TODAY()-INDEX(Zestawienie!B:B, MATCH(A125, Zestawienie!A:A, 0))
      ),
      IF(OR(C125="Zajęte", C125="Spóźnione"),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v>
      </c>
      <c r="E125" s="62"/>
    </row>
    <row r="126">
      <c r="A126" s="57">
        <v>125.0</v>
      </c>
      <c r="B126" s="58" t="str">
        <f>IFERROR(__xludf.DUMMYFUNCTION("IF(
  OR(C126=""Zajęte"", C126=""Spóźnione""),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"),"Słupski Michał")</f>
        <v>Słupski Michał</v>
      </c>
      <c r="C126" s="59" t="str">
        <f t="array" ref="C12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26" s="60">
        <f t="array" ref="D126">IFERROR(
  IF(
    ISBLANK(INDEX(Zestawienie!B:B, MATCH(A126, Zestawienie!A:A, 0))),
    "",
    IF(C126="Wolne",
      IF(
        OR(
          ISBLANK(INDEX(Zestawienie!B:B, MATCH(A126, Zestawienie!A:A, 0))),
          NOT(ISNUMBER(INDEX(Zestawienie!B:B, MATCH(A126, Zestawienie!A:A, 0))))
        ),
        "",
        TODAY()-INDEX(Zestawienie!B:B, MATCH(A126, Zestawienie!A:A, 0))
      ),
      IF(OR(C126="Zajęte", C126="Spóźnione"),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126" s="62"/>
    </row>
    <row r="127">
      <c r="A127" s="57">
        <v>126.0</v>
      </c>
      <c r="B127" s="58" t="str">
        <f>IFERROR(__xludf.DUMMYFUNCTION("IF(
  OR(C127=""Zajęte"", C127=""Spóźnione""),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27" s="59" t="str">
        <f t="array" ref="C12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7" s="60">
        <f t="array" ref="D127">IFERROR(
  IF(
    ISBLANK(INDEX(Zestawienie!B:B, MATCH(A127, Zestawienie!A:A, 0))),
    "",
    IF(C127="Wolne",
      IF(
        OR(
          ISBLANK(INDEX(Zestawienie!B:B, MATCH(A127, Zestawienie!A:A, 0))),
          NOT(ISNUMBER(INDEX(Zestawienie!B:B, MATCH(A127, Zestawienie!A:A, 0))))
        ),
        "",
        TODAY()-INDEX(Zestawienie!B:B, MATCH(A127, Zestawienie!A:A, 0))
      ),
      IF(OR(C127="Zajęte", C127="Spóźnione"),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191</v>
      </c>
      <c r="E127" s="62"/>
    </row>
    <row r="128">
      <c r="A128" s="57">
        <v>127.0</v>
      </c>
      <c r="B128" s="58" t="str">
        <f>IFERROR(__xludf.DUMMYFUNCTION("IF(
  OR(C128=""Zajęte"", C128=""Spóźnione""),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28" s="59" t="str">
        <f t="array" ref="C12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8" s="60">
        <f t="array" ref="D128">IFERROR(
  IF(
    ISBLANK(INDEX(Zestawienie!B:B, MATCH(A128, Zestawienie!A:A, 0))),
    "",
    IF(C128="Wolne",
      IF(
        OR(
          ISBLANK(INDEX(Zestawienie!B:B, MATCH(A128, Zestawienie!A:A, 0))),
          NOT(ISNUMBER(INDEX(Zestawienie!B:B, MATCH(A128, Zestawienie!A:A, 0))))
        ),
        "",
        TODAY()-INDEX(Zestawienie!B:B, MATCH(A128, Zestawienie!A:A, 0))
      ),
      IF(OR(C128="Zajęte", C128="Spóźnione"),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128" s="62"/>
    </row>
    <row r="129">
      <c r="A129" s="57">
        <v>128.0</v>
      </c>
      <c r="B129" s="58" t="str">
        <f>IFERROR(__xludf.DUMMYFUNCTION("IF(
  OR(C129=""Zajęte"", C129=""Spóźnione""),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29" s="59" t="str">
        <f t="array" ref="C12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29" s="60">
        <f t="array" ref="D129">IFERROR(
  IF(
    ISBLANK(INDEX(Zestawienie!B:B, MATCH(A129, Zestawienie!A:A, 0))),
    "",
    IF(C129="Wolne",
      IF(
        OR(
          ISBLANK(INDEX(Zestawienie!B:B, MATCH(A129, Zestawienie!A:A, 0))),
          NOT(ISNUMBER(INDEX(Zestawienie!B:B, MATCH(A129, Zestawienie!A:A, 0))))
        ),
        "",
        TODAY()-INDEX(Zestawienie!B:B, MATCH(A129, Zestawienie!A:A, 0))
      ),
      IF(OR(C129="Zajęte", C129="Spóźnione"),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IF(C129="Zajęte",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43</v>
      </c>
      <c r="E129" s="62"/>
    </row>
    <row r="130">
      <c r="A130" s="57">
        <v>129.0</v>
      </c>
      <c r="B130" s="58" t="str">
        <f>IFERROR(__xludf.DUMMYFUNCTION("IF(
  OR(C130=""Zajęte"", C130=""Spóźnione""),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0" s="59" t="str">
        <f t="array" ref="C13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0" s="60">
        <f t="array" ref="D130">IFERROR(
  IF(
    ISBLANK(INDEX(Zestawienie!B:B, MATCH(A130, Zestawienie!A:A, 0))),
    "",
    IF(C130="Wolne",
      IF(
        OR(
          ISBLANK(INDEX(Zestawienie!B:B, MATCH(A130, Zestawienie!A:A, 0))),
          NOT(ISNUMBER(INDEX(Zestawienie!B:B, MATCH(A130, Zestawienie!A:A, 0))))
        ),
        "",
        TODAY()-INDEX(Zestawienie!B:B, MATCH(A130, Zestawienie!A:A, 0))
      ),
      IF(OR(C130="Zajęte", C130="Spóźnione"),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130" s="62"/>
    </row>
    <row r="131">
      <c r="A131" s="57">
        <v>130.0</v>
      </c>
      <c r="B131" s="58" t="str">
        <f>IFERROR(__xludf.DUMMYFUNCTION("IF(
  OR(C131=""Zajęte"", C131=""Spóźnione""),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1" s="59" t="str">
        <f t="array" ref="C13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1" s="60">
        <f t="array" ref="D131">IFERROR(
  IF(
    ISBLANK(INDEX(Zestawienie!B:B, MATCH(A131, Zestawienie!A:A, 0))),
    "",
    IF(C131="Wolne",
      IF(
        OR(
          ISBLANK(INDEX(Zestawienie!B:B, MATCH(A131, Zestawienie!A:A, 0))),
          NOT(ISNUMBER(INDEX(Zestawienie!B:B, MATCH(A131, Zestawienie!A:A, 0))))
        ),
        "",
        TODAY()-INDEX(Zestawienie!B:B, MATCH(A131, Zestawienie!A:A, 0))
      ),
      IF(OR(C131="Zajęte", C131="Spóźnione"),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85</v>
      </c>
      <c r="E131" s="62"/>
    </row>
    <row r="132">
      <c r="A132" s="57">
        <v>131.0</v>
      </c>
      <c r="B132" s="58" t="str">
        <f>IFERROR(__xludf.DUMMYFUNCTION("IF(
  OR(C132=""Zajęte"", C132=""Spóźnione""),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2" s="59" t="str">
        <f t="array" ref="C13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2" s="60">
        <f t="array" ref="D132">IFERROR(
  IF(
    ISBLANK(INDEX(Zestawienie!B:B, MATCH(A132, Zestawienie!A:A, 0))),
    "",
    IF(C132="Wolne",
      IF(
        OR(
          ISBLANK(INDEX(Zestawienie!B:B, MATCH(A132, Zestawienie!A:A, 0))),
          NOT(ISNUMBER(INDEX(Zestawienie!B:B, MATCH(A132, Zestawienie!A:A, 0))))
        ),
        "",
        TODAY()-INDEX(Zestawienie!B:B, MATCH(A132, Zestawienie!A:A, 0))
      ),
      IF(OR(C132="Zajęte", C132="Spóźnione"),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475</v>
      </c>
      <c r="E132" s="62"/>
    </row>
    <row r="133">
      <c r="A133" s="57">
        <v>132.0</v>
      </c>
      <c r="B133" s="58" t="str">
        <f>IFERROR(__xludf.DUMMYFUNCTION("IF(
  OR(C133=""Zajęte"", C133=""Spóźnione""),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3" s="59" t="str">
        <f t="array" ref="C13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3" s="60">
        <f t="array" ref="D133">IFERROR(
  IF(
    ISBLANK(INDEX(Zestawienie!B:B, MATCH(A133, Zestawienie!A:A, 0))),
    "",
    IF(C133="Wolne",
      IF(
        OR(
          ISBLANK(INDEX(Zestawienie!B:B, MATCH(A133, Zestawienie!A:A, 0))),
          NOT(ISNUMBER(INDEX(Zestawienie!B:B, MATCH(A133, Zestawienie!A:A, 0))))
        ),
        "",
        TODAY()-INDEX(Zestawienie!B:B, MATCH(A133, Zestawienie!A:A, 0))
      ),
      IF(OR(C133="Zajęte", C133="Spóźnione"),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133" s="62"/>
    </row>
    <row r="134">
      <c r="A134" s="57">
        <v>133.0</v>
      </c>
      <c r="B134" s="58" t="str">
        <f>IFERROR(__xludf.DUMMYFUNCTION("IF(
  OR(C134=""Zajęte"", C134=""Spóźnione""),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4" s="59" t="str">
        <f t="array" ref="C13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4" s="60">
        <f t="array" ref="D134">IFERROR(
  IF(
    ISBLANK(INDEX(Zestawienie!B:B, MATCH(A134, Zestawienie!A:A, 0))),
    "",
    IF(C134="Wolne",
      IF(
        OR(
          ISBLANK(INDEX(Zestawienie!B:B, MATCH(A134, Zestawienie!A:A, 0))),
          NOT(ISNUMBER(INDEX(Zestawienie!B:B, MATCH(A134, Zestawienie!A:A, 0))))
        ),
        "",
        TODAY()-INDEX(Zestawienie!B:B, MATCH(A134, Zestawienie!A:A, 0))
      ),
      IF(OR(C134="Zajęte", C134="Spóźnione"),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33</v>
      </c>
      <c r="E134" s="62"/>
    </row>
    <row r="135">
      <c r="A135" s="57">
        <v>134.0</v>
      </c>
      <c r="B135" s="58" t="str">
        <f>IFERROR(__xludf.DUMMYFUNCTION("IF(
  OR(C135=""Zajęte"", C135=""Spóźnione""),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5" s="59" t="str">
        <f t="array" ref="C13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5" s="60">
        <f t="array" ref="D135">IFERROR(
  IF(
    ISBLANK(INDEX(Zestawienie!B:B, MATCH(A135, Zestawienie!A:A, 0))),
    "",
    IF(C135="Wolne",
      IF(
        OR(
          ISBLANK(INDEX(Zestawienie!B:B, MATCH(A135, Zestawienie!A:A, 0))),
          NOT(ISNUMBER(INDEX(Zestawienie!B:B, MATCH(A135, Zestawienie!A:A, 0))))
        ),
        "",
        TODAY()-INDEX(Zestawienie!B:B, MATCH(A135, Zestawienie!A:A, 0))
      ),
      IF(OR(C135="Zajęte", C135="Spóźnione"),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128</v>
      </c>
      <c r="E135" s="62"/>
    </row>
    <row r="136">
      <c r="A136" s="57">
        <v>135.0</v>
      </c>
      <c r="B136" s="58" t="str">
        <f>IFERROR(__xludf.DUMMYFUNCTION("IF(
  OR(C136=""Zajęte"", C136=""Spóźnione""),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"),"Katarzyński Marek")</f>
        <v>Katarzyński Marek</v>
      </c>
      <c r="C136" s="59" t="str">
        <f t="array" ref="C13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136" s="60">
        <f t="array" ref="D136">IFERROR(
  IF(
    ISBLANK(INDEX(Zestawienie!B:B, MATCH(A136, Zestawienie!A:A, 0))),
    "",
    IF(C136="Wolne",
      IF(
        OR(
          ISBLANK(INDEX(Zestawienie!B:B, MATCH(A136, Zestawienie!A:A, 0))),
          NOT(ISNUMBER(INDEX(Zestawienie!B:B, MATCH(A136, Zestawienie!A:A, 0))))
        ),
        "",
        TODAY()-INDEX(Zestawienie!B:B, MATCH(A136, Zestawienie!A:A, 0))
      ),
      IF(OR(C136="Zajęte", C136="Spóźnione"),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219</v>
      </c>
      <c r="E136" s="62"/>
    </row>
    <row r="137">
      <c r="A137" s="57">
        <v>136.0</v>
      </c>
      <c r="B137" s="58" t="str">
        <f>IFERROR(__xludf.DUMMYFUNCTION("IF(
  OR(C137=""Zajęte"", C137=""Spóźnione""),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7" s="59" t="str">
        <f t="array" ref="C13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7" s="60">
        <f t="array" ref="D137">IFERROR(
  IF(
    ISBLANK(INDEX(Zestawienie!B:B, MATCH(A137, Zestawienie!A:A, 0))),
    "",
    IF(C137="Wolne",
      IF(
        OR(
          ISBLANK(INDEX(Zestawienie!B:B, MATCH(A137, Zestawienie!A:A, 0))),
          NOT(ISNUMBER(INDEX(Zestawienie!B:B, MATCH(A137, Zestawienie!A:A, 0))))
        ),
        "",
        TODAY()-INDEX(Zestawienie!B:B, MATCH(A137, Zestawienie!A:A, 0))
      ),
      IF(OR(C137="Zajęte", C137="Spóźnione"),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386</v>
      </c>
      <c r="E137" s="62"/>
    </row>
    <row r="138">
      <c r="A138" s="57">
        <v>137.0</v>
      </c>
      <c r="B138" s="58" t="str">
        <f>IFERROR(__xludf.DUMMYFUNCTION("IF(
  OR(C138=""Zajęte"", C138=""Spóźnione""),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38" s="59" t="str">
        <f t="array" ref="C13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38" s="60">
        <f t="array" ref="D138">IFERROR(
  IF(
    ISBLANK(INDEX(Zestawienie!B:B, MATCH(A138, Zestawienie!A:A, 0))),
    "",
    IF(C138="Wolne",
      IF(
        OR(
          ISBLANK(INDEX(Zestawienie!B:B, MATCH(A138, Zestawienie!A:A, 0))),
          NOT(ISNUMBER(INDEX(Zestawienie!B:B, MATCH(A138, Zestawienie!A:A, 0))))
        ),
        "",
        TODAY()-INDEX(Zestawienie!B:B, MATCH(A138, Zestawienie!A:A, 0))
      ),
      IF(OR(C138="Zajęte", C138="Spóźnione"),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93</v>
      </c>
      <c r="E138" s="62"/>
    </row>
    <row r="139">
      <c r="A139" s="57">
        <v>138.0</v>
      </c>
      <c r="B139" s="58" t="str">
        <f>IFERROR(__xludf.DUMMYFUNCTION("IF(
  OR(C139=""Zajęte"", C139=""Spóźnione""),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"),"Szczepanik Halina")</f>
        <v>Szczepanik Halina</v>
      </c>
      <c r="C139" s="59" t="str">
        <f t="array" ref="C13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39" s="60">
        <f t="array" ref="D139">IFERROR(
  IF(
    ISBLANK(INDEX(Zestawienie!B:B, MATCH(A139, Zestawienie!A:A, 0))),
    "",
    IF(C139="Wolne",
      IF(
        OR(
          ISBLANK(INDEX(Zestawienie!B:B, MATCH(A139, Zestawienie!A:A, 0))),
          NOT(ISNUMBER(INDEX(Zestawienie!B:B, MATCH(A139, Zestawienie!A:A, 0))))
        ),
        "",
        TODAY()-INDEX(Zestawienie!B:B, MATCH(A139, Zestawienie!A:A, 0))
      ),
      IF(OR(C139="Zajęte", C139="Spóźnione"),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IF(C139="Zajęte",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39</v>
      </c>
      <c r="E139" s="62"/>
    </row>
    <row r="140">
      <c r="A140" s="57">
        <v>139.0</v>
      </c>
      <c r="B140" s="58" t="str">
        <f>IFERROR(__xludf.DUMMYFUNCTION("IF(
  OR(C140=""Zajęte"", C140=""Spóźnione""),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"),"Geszczyński Tomasz")</f>
        <v>Geszczyński Tomasz</v>
      </c>
      <c r="C140" s="59" t="str">
        <f t="array" ref="C14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40" s="60">
        <f t="array" ref="D140">IFERROR(
  IF(
    ISBLANK(INDEX(Zestawienie!B:B, MATCH(A140, Zestawienie!A:A, 0))),
    "",
    IF(C140="Wolne",
      IF(
        OR(
          ISBLANK(INDEX(Zestawienie!B:B, MATCH(A140, Zestawienie!A:A, 0))),
          NOT(ISNUMBER(INDEX(Zestawienie!B:B, MATCH(A140, Zestawienie!A:A, 0))))
        ),
        "",
        TODAY()-INDEX(Zestawienie!B:B, MATCH(A140, Zestawienie!A:A, 0))
      ),
      IF(OR(C140="Zajęte", C140="Spóźnione"),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v>
      </c>
      <c r="E140" s="62"/>
    </row>
    <row r="141">
      <c r="A141" s="57">
        <v>140.0</v>
      </c>
      <c r="B141" s="58" t="str">
        <f>IFERROR(__xludf.DUMMYFUNCTION("IF(
  OR(C141=""Zajęte"", C141=""Spóźnione""),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1" s="59" t="str">
        <f t="array" ref="C14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1" s="60">
        <f t="array" ref="D141">IFERROR(
  IF(
    ISBLANK(INDEX(Zestawienie!B:B, MATCH(A141, Zestawienie!A:A, 0))),
    "",
    IF(C141="Wolne",
      IF(
        OR(
          ISBLANK(INDEX(Zestawienie!B:B, MATCH(A141, Zestawienie!A:A, 0))),
          NOT(ISNUMBER(INDEX(Zestawienie!B:B, MATCH(A141, Zestawienie!A:A, 0))))
        ),
        "",
        TODAY()-INDEX(Zestawienie!B:B, MATCH(A141, Zestawienie!A:A, 0))
      ),
      IF(OR(C141="Zajęte", C141="Spóźnione"),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141" s="62"/>
    </row>
    <row r="142">
      <c r="A142" s="57">
        <v>141.0</v>
      </c>
      <c r="B142" s="58" t="str">
        <f>IFERROR(__xludf.DUMMYFUNCTION("IF(
  OR(C142=""Zajęte"", C142=""Spóźnione""),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2" s="59" t="str">
        <f t="array" ref="C14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2" s="60">
        <f t="array" ref="D142">IFERROR(
  IF(
    ISBLANK(INDEX(Zestawienie!B:B, MATCH(A142, Zestawienie!A:A, 0))),
    "",
    IF(C142="Wolne",
      IF(
        OR(
          ISBLANK(INDEX(Zestawienie!B:B, MATCH(A142, Zestawienie!A:A, 0))),
          NOT(ISNUMBER(INDEX(Zestawienie!B:B, MATCH(A142, Zestawienie!A:A, 0))))
        ),
        "",
        TODAY()-INDEX(Zestawienie!B:B, MATCH(A142, Zestawienie!A:A, 0))
      ),
      IF(OR(C142="Zajęte", C142="Spóźnione"),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131</v>
      </c>
      <c r="E142" s="62"/>
    </row>
    <row r="143">
      <c r="A143" s="57">
        <v>142.0</v>
      </c>
      <c r="B143" s="58" t="str">
        <f>IFERROR(__xludf.DUMMYFUNCTION("IF(
  OR(C143=""Zajęte"", C143=""Spóźnione""),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3" s="59" t="str">
        <f t="array" ref="C14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3" s="60">
        <f t="array" ref="D143">IFERROR(
  IF(
    ISBLANK(INDEX(Zestawienie!B:B, MATCH(A143, Zestawienie!A:A, 0))),
    "",
    IF(C143="Wolne",
      IF(
        OR(
          ISBLANK(INDEX(Zestawienie!B:B, MATCH(A143, Zestawienie!A:A, 0))),
          NOT(ISNUMBER(INDEX(Zestawienie!B:B, MATCH(A143, Zestawienie!A:A, 0))))
        ),
        "",
        TODAY()-INDEX(Zestawienie!B:B, MATCH(A143, Zestawienie!A:A, 0))
      ),
      IF(OR(C143="Zajęte", C143="Spóźnione"),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v>
      </c>
      <c r="E143" s="62"/>
    </row>
    <row r="144">
      <c r="A144" s="57">
        <v>143.0</v>
      </c>
      <c r="B144" s="58" t="str">
        <f>IFERROR(__xludf.DUMMYFUNCTION("IF(
  OR(C144=""Zajęte"", C144=""Spóźnione""),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4" s="59" t="str">
        <f t="array" ref="C14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4" s="60">
        <f t="array" ref="D144">IFERROR(
  IF(
    ISBLANK(INDEX(Zestawienie!B:B, MATCH(A144, Zestawienie!A:A, 0))),
    "",
    IF(C144="Wolne",
      IF(
        OR(
          ISBLANK(INDEX(Zestawienie!B:B, MATCH(A144, Zestawienie!A:A, 0))),
          NOT(ISNUMBER(INDEX(Zestawienie!B:B, MATCH(A144, Zestawienie!A:A, 0))))
        ),
        "",
        TODAY()-INDEX(Zestawienie!B:B, MATCH(A144, Zestawienie!A:A, 0))
      ),
      IF(OR(C144="Zajęte", C144="Spóźnione"),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379</v>
      </c>
      <c r="E144" s="62"/>
    </row>
    <row r="145">
      <c r="A145" s="57">
        <v>144.0</v>
      </c>
      <c r="B145" s="58" t="str">
        <f>IFERROR(__xludf.DUMMYFUNCTION("IF(
  OR(C145=""Zajęte"", C145=""Spóźnione""),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5" s="59" t="str">
        <f t="array" ref="C14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5" s="60">
        <f t="array" ref="D145">IFERROR(
  IF(
    ISBLANK(INDEX(Zestawienie!B:B, MATCH(A145, Zestawienie!A:A, 0))),
    "",
    IF(C145="Wolne",
      IF(
        OR(
          ISBLANK(INDEX(Zestawienie!B:B, MATCH(A145, Zestawienie!A:A, 0))),
          NOT(ISNUMBER(INDEX(Zestawienie!B:B, MATCH(A145, Zestawienie!A:A, 0))))
        ),
        "",
        TODAY()-INDEX(Zestawienie!B:B, MATCH(A145, Zestawienie!A:A, 0))
      ),
      IF(OR(C145="Zajęte", C145="Spóźnione"),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v>
      </c>
      <c r="E145" s="62"/>
    </row>
    <row r="146">
      <c r="A146" s="57">
        <v>145.0</v>
      </c>
      <c r="B146" s="58" t="str">
        <f>IFERROR(__xludf.DUMMYFUNCTION("IF(
  OR(C146=""Zajęte"", C146=""Spóźnione""),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6" s="59" t="str">
        <f t="array" ref="C14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6" s="60">
        <f t="array" ref="D146">IFERROR(
  IF(
    ISBLANK(INDEX(Zestawienie!B:B, MATCH(A146, Zestawienie!A:A, 0))),
    "",
    IF(C146="Wolne",
      IF(
        OR(
          ISBLANK(INDEX(Zestawienie!B:B, MATCH(A146, Zestawienie!A:A, 0))),
          NOT(ISNUMBER(INDEX(Zestawienie!B:B, MATCH(A146, Zestawienie!A:A, 0))))
        ),
        "",
        TODAY()-INDEX(Zestawienie!B:B, MATCH(A146, Zestawienie!A:A, 0))
      ),
      IF(OR(C146="Zajęte", C146="Spóźnione"),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146" s="62"/>
    </row>
    <row r="147">
      <c r="A147" s="57">
        <v>146.0</v>
      </c>
      <c r="B147" s="58" t="str">
        <f>IFERROR(__xludf.DUMMYFUNCTION("IF(
  OR(C147=""Zajęte"", C147=""Spóźnione""),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7" s="59" t="str">
        <f t="array" ref="C14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7" s="60">
        <f t="array" ref="D147">IFERROR(
  IF(
    ISBLANK(INDEX(Zestawienie!B:B, MATCH(A147, Zestawienie!A:A, 0))),
    "",
    IF(C147="Wolne",
      IF(
        OR(
          ISBLANK(INDEX(Zestawienie!B:B, MATCH(A147, Zestawienie!A:A, 0))),
          NOT(ISNUMBER(INDEX(Zestawienie!B:B, MATCH(A147, Zestawienie!A:A, 0))))
        ),
        "",
        TODAY()-INDEX(Zestawienie!B:B, MATCH(A147, Zestawienie!A:A, 0))
      ),
      IF(OR(C147="Zajęte", C147="Spóźnione"),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401</v>
      </c>
      <c r="E147" s="62"/>
    </row>
    <row r="148">
      <c r="A148" s="57">
        <v>147.0</v>
      </c>
      <c r="B148" s="58" t="str">
        <f>IFERROR(__xludf.DUMMYFUNCTION("IF(
  OR(C148=""Zajęte"", C148=""Spóźnione""),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8" s="59" t="str">
        <f t="array" ref="C14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8" s="60">
        <f t="array" ref="D148">IFERROR(
  IF(
    ISBLANK(INDEX(Zestawienie!B:B, MATCH(A148, Zestawienie!A:A, 0))),
    "",
    IF(C148="Wolne",
      IF(
        OR(
          ISBLANK(INDEX(Zestawienie!B:B, MATCH(A148, Zestawienie!A:A, 0))),
          NOT(ISNUMBER(INDEX(Zestawienie!B:B, MATCH(A148, Zestawienie!A:A, 0))))
        ),
        "",
        TODAY()-INDEX(Zestawienie!B:B, MATCH(A148, Zestawienie!A:A, 0))
      ),
      IF(OR(C148="Zajęte", C148="Spóźnione"),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v>
      </c>
      <c r="E148" s="62"/>
    </row>
    <row r="149">
      <c r="A149" s="57">
        <v>148.0</v>
      </c>
      <c r="B149" s="58" t="str">
        <f>IFERROR(__xludf.DUMMYFUNCTION("IF(
  OR(C149=""Zajęte"", C149=""Spóźnione""),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49" s="59" t="str">
        <f t="array" ref="C14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49" s="60">
        <f t="array" ref="D149">IFERROR(
  IF(
    ISBLANK(INDEX(Zestawienie!B:B, MATCH(A149, Zestawienie!A:A, 0))),
    "",
    IF(C149="Wolne",
      IF(
        OR(
          ISBLANK(INDEX(Zestawienie!B:B, MATCH(A149, Zestawienie!A:A, 0))),
          NOT(ISNUMBER(INDEX(Zestawienie!B:B, MATCH(A149, Zestawienie!A:A, 0))))
        ),
        "",
        TODAY()-INDEX(Zestawienie!B:B, MATCH(A149, Zestawienie!A:A, 0))
      ),
      IF(OR(C149="Zajęte", C149="Spóźnione"),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IF(C149="Zajęte",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33</v>
      </c>
      <c r="E149" s="62"/>
    </row>
    <row r="150">
      <c r="A150" s="57">
        <v>149.0</v>
      </c>
      <c r="B150" s="58" t="str">
        <f>IFERROR(__xludf.DUMMYFUNCTION("IF(
  OR(C150=""Zajęte"", C150=""Spóźnione""),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0" s="59" t="str">
        <f t="array" ref="C15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0" s="60">
        <f t="array" ref="D150">IFERROR(
  IF(
    ISBLANK(INDEX(Zestawienie!B:B, MATCH(A150, Zestawienie!A:A, 0))),
    "",
    IF(C150="Wolne",
      IF(
        OR(
          ISBLANK(INDEX(Zestawienie!B:B, MATCH(A150, Zestawienie!A:A, 0))),
          NOT(ISNUMBER(INDEX(Zestawienie!B:B, MATCH(A150, Zestawienie!A:A, 0))))
        ),
        "",
        TODAY()-INDEX(Zestawienie!B:B, MATCH(A150, Zestawienie!A:A, 0))
      ),
      IF(OR(C150="Zajęte", C150="Spóźnione"),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150" s="62"/>
    </row>
    <row r="151">
      <c r="A151" s="57">
        <v>150.0</v>
      </c>
      <c r="B151" s="58" t="str">
        <f>IFERROR(__xludf.DUMMYFUNCTION("IF(
  OR(C151=""Zajęte"", C151=""Spóźnione""),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1" s="59" t="str">
        <f t="array" ref="C15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1" s="60">
        <f t="array" ref="D151">IFERROR(
  IF(
    ISBLANK(INDEX(Zestawienie!B:B, MATCH(A151, Zestawienie!A:A, 0))),
    "",
    IF(C151="Wolne",
      IF(
        OR(
          ISBLANK(INDEX(Zestawienie!B:B, MATCH(A151, Zestawienie!A:A, 0))),
          NOT(ISNUMBER(INDEX(Zestawienie!B:B, MATCH(A151, Zestawienie!A:A, 0))))
        ),
        "",
        TODAY()-INDEX(Zestawienie!B:B, MATCH(A151, Zestawienie!A:A, 0))
      ),
      IF(OR(C151="Zajęte", C151="Spóźnione"),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151" s="62"/>
    </row>
    <row r="152">
      <c r="A152" s="57">
        <v>151.0</v>
      </c>
      <c r="B152" s="58" t="str">
        <f>IFERROR(__xludf.DUMMYFUNCTION("IF(
  OR(C152=""Zajęte"", C152=""Spóźnione""),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2" s="59" t="str">
        <f t="array" ref="C15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2" s="60">
        <f t="array" ref="D152">IFERROR(
  IF(
    ISBLANK(INDEX(Zestawienie!B:B, MATCH(A152, Zestawienie!A:A, 0))),
    "",
    IF(C152="Wolne",
      IF(
        OR(
          ISBLANK(INDEX(Zestawienie!B:B, MATCH(A152, Zestawienie!A:A, 0))),
          NOT(ISNUMBER(INDEX(Zestawienie!B:B, MATCH(A152, Zestawienie!A:A, 0))))
        ),
        "",
        TODAY()-INDEX(Zestawienie!B:B, MATCH(A152, Zestawienie!A:A, 0))
      ),
      IF(OR(C152="Zajęte", C152="Spóźnione"),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152" s="62"/>
    </row>
    <row r="153">
      <c r="A153" s="57">
        <v>152.0</v>
      </c>
      <c r="B153" s="58" t="str">
        <f>IFERROR(__xludf.DUMMYFUNCTION("IF(
  OR(C153=""Zajęte"", C153=""Spóźnione""),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3" s="59" t="str">
        <f t="array" ref="C15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3" s="60">
        <f t="array" ref="D153">IFERROR(
  IF(
    ISBLANK(INDEX(Zestawienie!B:B, MATCH(A153, Zestawienie!A:A, 0))),
    "",
    IF(C153="Wolne",
      IF(
        OR(
          ISBLANK(INDEX(Zestawienie!B:B, MATCH(A153, Zestawienie!A:A, 0))),
          NOT(ISNUMBER(INDEX(Zestawienie!B:B, MATCH(A153, Zestawienie!A:A, 0))))
        ),
        "",
        TODAY()-INDEX(Zestawienie!B:B, MATCH(A153, Zestawienie!A:A, 0))
      ),
      IF(OR(C153="Zajęte", C153="Spóźnione"),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153" s="62"/>
    </row>
    <row r="154">
      <c r="A154" s="57">
        <v>153.0</v>
      </c>
      <c r="B154" s="58" t="str">
        <f>IFERROR(__xludf.DUMMYFUNCTION("IF(
  OR(C154=""Zajęte"", C154=""Spóźnione""),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Robert")</f>
        <v>Olender Robert</v>
      </c>
      <c r="C154" s="59" t="str">
        <f t="array" ref="C15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54" s="60">
        <f t="array" ref="D154">IFERROR(
  IF(
    ISBLANK(INDEX(Zestawienie!B:B, MATCH(A154, Zestawienie!A:A, 0))),
    "",
    IF(C154="Wolne",
      IF(
        OR(
          ISBLANK(INDEX(Zestawienie!B:B, MATCH(A154, Zestawienie!A:A, 0))),
          NOT(ISNUMBER(INDEX(Zestawienie!B:B, MATCH(A154, Zestawienie!A:A, 0))))
        ),
        "",
        TODAY()-INDEX(Zestawienie!B:B, MATCH(A154, Zestawienie!A:A, 0))
      ),
      IF(OR(C154="Zajęte", C154="Spóźnione"),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v>
      </c>
      <c r="E154" s="62"/>
    </row>
    <row r="155">
      <c r="A155" s="57">
        <v>154.0</v>
      </c>
      <c r="B155" s="58" t="str">
        <f>IFERROR(__xludf.DUMMYFUNCTION("IF(
  OR(C155=""Zajęte"", C155=""Spóźnione""),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5" s="59" t="str">
        <f t="array" ref="C15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5" s="60">
        <f t="array" ref="D155">IFERROR(
  IF(
    ISBLANK(INDEX(Zestawienie!B:B, MATCH(A155, Zestawienie!A:A, 0))),
    "",
    IF(C155="Wolne",
      IF(
        OR(
          ISBLANK(INDEX(Zestawienie!B:B, MATCH(A155, Zestawienie!A:A, 0))),
          NOT(ISNUMBER(INDEX(Zestawienie!B:B, MATCH(A155, Zestawienie!A:A, 0))))
        ),
        "",
        TODAY()-INDEX(Zestawienie!B:B, MATCH(A155, Zestawienie!A:A, 0))
      ),
      IF(OR(C155="Zajęte", C155="Spóźnione"),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155" s="62"/>
    </row>
    <row r="156">
      <c r="A156" s="57">
        <v>155.0</v>
      </c>
      <c r="B156" s="58" t="str">
        <f>IFERROR(__xludf.DUMMYFUNCTION("IF(
  OR(C156=""Zajęte"", C156=""Spóźnione""),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6" s="59" t="str">
        <f t="array" ref="C15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6" s="60" t="str">
        <f t="array" ref="D156">IFERROR(
  IF(
    ISBLANK(INDEX(Zestawienie!B:B, MATCH(A156, Zestawienie!A:A, 0))),
    "",
    IF(C156="Wolne",
      IF(
        OR(
          ISBLANK(INDEX(Zestawienie!B:B, MATCH(A156, Zestawienie!A:A, 0))),
          NOT(ISNUMBER(INDEX(Zestawienie!B:B, MATCH(A156, Zestawienie!A:A, 0))))
        ),
        "",
        TODAY()-INDEX(Zestawienie!B:B, MATCH(A156, Zestawienie!A:A, 0))
      ),
      IF(OR(C156="Zajęte", C156="Spóźnione"),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156" s="62"/>
    </row>
    <row r="157">
      <c r="A157" s="57">
        <v>156.0</v>
      </c>
      <c r="B157" s="58" t="str">
        <f>IFERROR(__xludf.DUMMYFUNCTION("IF(
  OR(C157=""Zajęte"", C157=""Spóźnione""),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7" s="59" t="str">
        <f t="array" ref="C15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7" s="60" t="str">
        <f t="array" ref="D157">IFERROR(
  IF(
    ISBLANK(INDEX(Zestawienie!B:B, MATCH(A157, Zestawienie!A:A, 0))),
    "",
    IF(C157="Wolne",
      IF(
        OR(
          ISBLANK(INDEX(Zestawienie!B:B, MATCH(A157, Zestawienie!A:A, 0))),
          NOT(ISNUMBER(INDEX(Zestawienie!B:B, MATCH(A157, Zestawienie!A:A, 0))))
        ),
        "",
        TODAY()-INDEX(Zestawienie!B:B, MATCH(A157, Zestawienie!A:A, 0))
      ),
      IF(OR(C157="Zajęte", C157="Spóźnione"),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157" s="62"/>
    </row>
    <row r="158">
      <c r="A158" s="57">
        <v>157.0</v>
      </c>
      <c r="B158" s="58" t="str">
        <f>IFERROR(__xludf.DUMMYFUNCTION("IF(
  OR(C158=""Zajęte"", C158=""Spóźnione""),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8" s="59" t="str">
        <f t="array" ref="C15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8" s="60" t="str">
        <f t="array" ref="D158">IFERROR(
  IF(
    ISBLANK(INDEX(Zestawienie!B:B, MATCH(A158, Zestawienie!A:A, 0))),
    "",
    IF(C158="Wolne",
      IF(
        OR(
          ISBLANK(INDEX(Zestawienie!B:B, MATCH(A158, Zestawienie!A:A, 0))),
          NOT(ISNUMBER(INDEX(Zestawienie!B:B, MATCH(A158, Zestawienie!A:A, 0))))
        ),
        "",
        TODAY()-INDEX(Zestawienie!B:B, MATCH(A158, Zestawienie!A:A, 0))
      ),
      IF(OR(C158="Zajęte", C158="Spóźnione"),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158" s="62"/>
    </row>
    <row r="159">
      <c r="A159" s="57">
        <v>158.0</v>
      </c>
      <c r="B159" s="58" t="str">
        <f>IFERROR(__xludf.DUMMYFUNCTION("IF(
  OR(C159=""Zajęte"", C159=""Spóźnione""),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59" s="59" t="str">
        <f t="array" ref="C15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59" s="60" t="str">
        <f t="array" ref="D159">IFERROR(
  IF(
    ISBLANK(INDEX(Zestawienie!B:B, MATCH(A159, Zestawienie!A:A, 0))),
    "",
    IF(C159="Wolne",
      IF(
        OR(
          ISBLANK(INDEX(Zestawienie!B:B, MATCH(A159, Zestawienie!A:A, 0))),
          NOT(ISNUMBER(INDEX(Zestawienie!B:B, MATCH(A159, Zestawienie!A:A, 0))))
        ),
        "",
        TODAY()-INDEX(Zestawienie!B:B, MATCH(A159, Zestawienie!A:A, 0))
      ),
      IF(OR(C159="Zajęte", C159="Spóźnione"),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IF(C159="Zajęte",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159" s="62"/>
    </row>
    <row r="160">
      <c r="A160" s="57">
        <v>159.0</v>
      </c>
      <c r="B160" s="58" t="str">
        <f>IFERROR(__xludf.DUMMYFUNCTION("IF(
  OR(C160=""Zajęte"", C160=""Spóźnione""),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0" s="59" t="str">
        <f t="array" ref="C16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0" s="60">
        <f t="array" ref="D160">IFERROR(
  IF(
    ISBLANK(INDEX(Zestawienie!B:B, MATCH(A160, Zestawienie!A:A, 0))),
    "",
    IF(C160="Wolne",
      IF(
        OR(
          ISBLANK(INDEX(Zestawienie!B:B, MATCH(A160, Zestawienie!A:A, 0))),
          NOT(ISNUMBER(INDEX(Zestawienie!B:B, MATCH(A160, Zestawienie!A:A, 0))))
        ),
        "",
        TODAY()-INDEX(Zestawienie!B:B, MATCH(A160, Zestawienie!A:A, 0))
      ),
      IF(OR(C160="Zajęte", C160="Spóźnione"),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351</v>
      </c>
      <c r="E160" s="62"/>
    </row>
    <row r="161">
      <c r="A161" s="57">
        <v>160.0</v>
      </c>
      <c r="B161" s="58" t="str">
        <f>IFERROR(__xludf.DUMMYFUNCTION("IF(
  OR(C161=""Zajęte"", C161=""Spóźnione""),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1" s="59" t="str">
        <f t="array" ref="C16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1" s="60">
        <f t="array" ref="D161">IFERROR(
  IF(
    ISBLANK(INDEX(Zestawienie!B:B, MATCH(A161, Zestawienie!A:A, 0))),
    "",
    IF(C161="Wolne",
      IF(
        OR(
          ISBLANK(INDEX(Zestawienie!B:B, MATCH(A161, Zestawienie!A:A, 0))),
          NOT(ISNUMBER(INDEX(Zestawienie!B:B, MATCH(A161, Zestawienie!A:A, 0))))
        ),
        "",
        TODAY()-INDEX(Zestawienie!B:B, MATCH(A161, Zestawienie!A:A, 0))
      ),
      IF(OR(C161="Zajęte", C161="Spóźnione"),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337</v>
      </c>
      <c r="E161" s="62"/>
    </row>
    <row r="162">
      <c r="A162" s="57">
        <v>161.0</v>
      </c>
      <c r="B162" s="58" t="str">
        <f>IFERROR(__xludf.DUMMYFUNCTION("IF(
  OR(C162=""Zajęte"", C162=""Spóźnione""),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"),"Winnicka Małgorzata")</f>
        <v>Winnicka Małgorzata</v>
      </c>
      <c r="C162" s="59" t="str">
        <f t="array" ref="C16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62" s="60">
        <f t="array" ref="D162">IFERROR(
  IF(
    ISBLANK(INDEX(Zestawienie!B:B, MATCH(A162, Zestawienie!A:A, 0))),
    "",
    IF(C162="Wolne",
      IF(
        OR(
          ISBLANK(INDEX(Zestawienie!B:B, MATCH(A162, Zestawienie!A:A, 0))),
          NOT(ISNUMBER(INDEX(Zestawienie!B:B, MATCH(A162, Zestawienie!A:A, 0))))
        ),
        "",
        TODAY()-INDEX(Zestawienie!B:B, MATCH(A162, Zestawienie!A:A, 0))
      ),
      IF(OR(C162="Zajęte", C162="Spóźnione"),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79</v>
      </c>
      <c r="E162" s="62"/>
    </row>
    <row r="163">
      <c r="A163" s="57">
        <v>162.0</v>
      </c>
      <c r="B163" s="58" t="str">
        <f>IFERROR(__xludf.DUMMYFUNCTION("IF(
  OR(C163=""Zajęte"", C163=""Spóźnione""),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3" s="59" t="str">
        <f t="array" ref="C16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3" s="60">
        <f t="array" ref="D163">IFERROR(
  IF(
    ISBLANK(INDEX(Zestawienie!B:B, MATCH(A163, Zestawienie!A:A, 0))),
    "",
    IF(C163="Wolne",
      IF(
        OR(
          ISBLANK(INDEX(Zestawienie!B:B, MATCH(A163, Zestawienie!A:A, 0))),
          NOT(ISNUMBER(INDEX(Zestawienie!B:B, MATCH(A163, Zestawienie!A:A, 0))))
        ),
        "",
        TODAY()-INDEX(Zestawienie!B:B, MATCH(A163, Zestawienie!A:A, 0))
      ),
      IF(OR(C163="Zajęte", C163="Spóźnione"),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33</v>
      </c>
      <c r="E163" s="62"/>
    </row>
    <row r="164">
      <c r="A164" s="57">
        <v>163.0</v>
      </c>
      <c r="B164" s="58" t="str">
        <f>IFERROR(__xludf.DUMMYFUNCTION("IF(
  OR(C164=""Zajęte"", C164=""Spóźnione""),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4" s="59" t="str">
        <f t="array" ref="C16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4" s="60">
        <f t="array" ref="D164">IFERROR(
  IF(
    ISBLANK(INDEX(Zestawienie!B:B, MATCH(A164, Zestawienie!A:A, 0))),
    "",
    IF(C164="Wolne",
      IF(
        OR(
          ISBLANK(INDEX(Zestawienie!B:B, MATCH(A164, Zestawienie!A:A, 0))),
          NOT(ISNUMBER(INDEX(Zestawienie!B:B, MATCH(A164, Zestawienie!A:A, 0))))
        ),
        "",
        TODAY()-INDEX(Zestawienie!B:B, MATCH(A164, Zestawienie!A:A, 0))
      ),
      IF(OR(C164="Zajęte", C164="Spóźnione"),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164" s="62"/>
    </row>
    <row r="165">
      <c r="A165" s="57">
        <v>164.0</v>
      </c>
      <c r="B165" s="58" t="str">
        <f>IFERROR(__xludf.DUMMYFUNCTION("IF(
  OR(C165=""Zajęte"", C165=""Spóźnione""),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5" s="59" t="str">
        <f t="array" ref="C16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5" s="60">
        <f t="array" ref="D165">IFERROR(
  IF(
    ISBLANK(INDEX(Zestawienie!B:B, MATCH(A165, Zestawienie!A:A, 0))),
    "",
    IF(C165="Wolne",
      IF(
        OR(
          ISBLANK(INDEX(Zestawienie!B:B, MATCH(A165, Zestawienie!A:A, 0))),
          NOT(ISNUMBER(INDEX(Zestawienie!B:B, MATCH(A165, Zestawienie!A:A, 0))))
        ),
        "",
        TODAY()-INDEX(Zestawienie!B:B, MATCH(A165, Zestawienie!A:A, 0))
      ),
      IF(OR(C165="Zajęte", C165="Spóźnione"),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149</v>
      </c>
      <c r="E165" s="62"/>
    </row>
    <row r="166">
      <c r="A166" s="57">
        <v>165.0</v>
      </c>
      <c r="B166" s="58" t="str">
        <f>IFERROR(__xludf.DUMMYFUNCTION("IF(
  OR(C166=""Zajęte"", C166=""Spóźnione""),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6" s="59" t="str">
        <f t="array" ref="C16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6" s="60">
        <f t="array" ref="D166">IFERROR(
  IF(
    ISBLANK(INDEX(Zestawienie!B:B, MATCH(A166, Zestawienie!A:A, 0))),
    "",
    IF(C166="Wolne",
      IF(
        OR(
          ISBLANK(INDEX(Zestawienie!B:B, MATCH(A166, Zestawienie!A:A, 0))),
          NOT(ISNUMBER(INDEX(Zestawienie!B:B, MATCH(A166, Zestawienie!A:A, 0))))
        ),
        "",
        TODAY()-INDEX(Zestawienie!B:B, MATCH(A166, Zestawienie!A:A, 0))
      ),
      IF(OR(C166="Zajęte", C166="Spóźnione"),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301</v>
      </c>
      <c r="E166" s="62"/>
    </row>
    <row r="167">
      <c r="A167" s="57">
        <v>166.0</v>
      </c>
      <c r="B167" s="58" t="str">
        <f>IFERROR(__xludf.DUMMYFUNCTION("IF(
  OR(C167=""Zajęte"", C167=""Spóźnione""),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7" s="59" t="str">
        <f t="array" ref="C16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7" s="60">
        <f t="array" ref="D167">IFERROR(
  IF(
    ISBLANK(INDEX(Zestawienie!B:B, MATCH(A167, Zestawienie!A:A, 0))),
    "",
    IF(C167="Wolne",
      IF(
        OR(
          ISBLANK(INDEX(Zestawienie!B:B, MATCH(A167, Zestawienie!A:A, 0))),
          NOT(ISNUMBER(INDEX(Zestawienie!B:B, MATCH(A167, Zestawienie!A:A, 0))))
        ),
        "",
        TODAY()-INDEX(Zestawienie!B:B, MATCH(A167, Zestawienie!A:A, 0))
      ),
      IF(OR(C167="Zajęte", C167="Spóźnione"),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503</v>
      </c>
      <c r="E167" s="62"/>
    </row>
    <row r="168">
      <c r="A168" s="57">
        <v>167.0</v>
      </c>
      <c r="B168" s="58" t="str">
        <f>IFERROR(__xludf.DUMMYFUNCTION("IF(
  OR(C168=""Zajęte"", C168=""Spóźnione""),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"),"Duda Małgorzata")</f>
        <v>Duda Małgorzata</v>
      </c>
      <c r="C168" s="59" t="str">
        <f t="array" ref="C16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68" s="60">
        <f t="array" ref="D168">IFERROR(
  IF(
    ISBLANK(INDEX(Zestawienie!B:B, MATCH(A168, Zestawienie!A:A, 0))),
    "",
    IF(C168="Wolne",
      IF(
        OR(
          ISBLANK(INDEX(Zestawienie!B:B, MATCH(A168, Zestawienie!A:A, 0))),
          NOT(ISNUMBER(INDEX(Zestawienie!B:B, MATCH(A168, Zestawienie!A:A, 0))))
        ),
        "",
        TODAY()-INDEX(Zestawienie!B:B, MATCH(A168, Zestawienie!A:A, 0))
      ),
      IF(OR(C168="Zajęte", C168="Spóźnione"),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v>
      </c>
      <c r="E168" s="62"/>
    </row>
    <row r="169">
      <c r="A169" s="57">
        <v>168.0</v>
      </c>
      <c r="B169" s="58" t="str">
        <f>IFERROR(__xludf.DUMMYFUNCTION("IF(
  OR(C169=""Zajęte"", C169=""Spóźnione""),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69" s="59" t="str">
        <f t="array" ref="C16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69" s="60">
        <f t="array" ref="D169">IFERROR(
  IF(
    ISBLANK(INDEX(Zestawienie!B:B, MATCH(A169, Zestawienie!A:A, 0))),
    "",
    IF(C169="Wolne",
      IF(
        OR(
          ISBLANK(INDEX(Zestawienie!B:B, MATCH(A169, Zestawienie!A:A, 0))),
          NOT(ISNUMBER(INDEX(Zestawienie!B:B, MATCH(A169, Zestawienie!A:A, 0))))
        ),
        "",
        TODAY()-INDEX(Zestawienie!B:B, MATCH(A169, Zestawienie!A:A, 0))
      ),
      IF(OR(C169="Zajęte", C169="Spóźnione"),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IF(C169="Zajęte",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503</v>
      </c>
      <c r="E169" s="62"/>
    </row>
    <row r="170">
      <c r="A170" s="57">
        <v>169.0</v>
      </c>
      <c r="B170" s="58" t="str">
        <f>IFERROR(__xludf.DUMMYFUNCTION("IF(
  OR(C170=""Zajęte"", C170=""Spóźnione""),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0" s="59" t="str">
        <f t="array" ref="C17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0" s="60">
        <f t="array" ref="D170">IFERROR(
  IF(
    ISBLANK(INDEX(Zestawienie!B:B, MATCH(A170, Zestawienie!A:A, 0))),
    "",
    IF(C170="Wolne",
      IF(
        OR(
          ISBLANK(INDEX(Zestawienie!B:B, MATCH(A170, Zestawienie!A:A, 0))),
          NOT(ISNUMBER(INDEX(Zestawienie!B:B, MATCH(A170, Zestawienie!A:A, 0))))
        ),
        "",
        TODAY()-INDEX(Zestawienie!B:B, MATCH(A170, Zestawienie!A:A, 0))
      ),
      IF(OR(C170="Zajęte", C170="Spóźnione"),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478</v>
      </c>
      <c r="E170" s="62"/>
    </row>
    <row r="171">
      <c r="A171" s="57">
        <v>170.0</v>
      </c>
      <c r="B171" s="58" t="str">
        <f>IFERROR(__xludf.DUMMYFUNCTION("IF(
  OR(C171=""Zajęte"", C171=""Spóźnione""),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1" s="59" t="str">
        <f t="array" ref="C17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1" s="60">
        <f t="array" ref="D171">IFERROR(
  IF(
    ISBLANK(INDEX(Zestawienie!B:B, MATCH(A171, Zestawienie!A:A, 0))),
    "",
    IF(C171="Wolne",
      IF(
        OR(
          ISBLANK(INDEX(Zestawienie!B:B, MATCH(A171, Zestawienie!A:A, 0))),
          NOT(ISNUMBER(INDEX(Zestawienie!B:B, MATCH(A171, Zestawienie!A:A, 0))))
        ),
        "",
        TODAY()-INDEX(Zestawienie!B:B, MATCH(A171, Zestawienie!A:A, 0))
      ),
      IF(OR(C171="Zajęte", C171="Spóźnione"),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171" s="62"/>
    </row>
    <row r="172">
      <c r="A172" s="57">
        <v>171.0</v>
      </c>
      <c r="B172" s="58" t="str">
        <f>IFERROR(__xludf.DUMMYFUNCTION("IF(
  OR(C172=""Zajęte"", C172=""Spóźnione""),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2" s="59" t="str">
        <f t="array" ref="C17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2" s="60">
        <f t="array" ref="D172">IFERROR(
  IF(
    ISBLANK(INDEX(Zestawienie!B:B, MATCH(A172, Zestawienie!A:A, 0))),
    "",
    IF(C172="Wolne",
      IF(
        OR(
          ISBLANK(INDEX(Zestawienie!B:B, MATCH(A172, Zestawienie!A:A, 0))),
          NOT(ISNUMBER(INDEX(Zestawienie!B:B, MATCH(A172, Zestawienie!A:A, 0))))
        ),
        "",
        TODAY()-INDEX(Zestawienie!B:B, MATCH(A172, Zestawienie!A:A, 0))
      ),
      IF(OR(C172="Zajęte", C172="Spóźnione"),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633</v>
      </c>
      <c r="E172" s="62"/>
    </row>
    <row r="173">
      <c r="A173" s="57">
        <v>172.0</v>
      </c>
      <c r="B173" s="58" t="str">
        <f>IFERROR(__xludf.DUMMYFUNCTION("IF(
  OR(C173=""Zajęte"", C173=""Spóźnione""),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3" s="59" t="str">
        <f t="array" ref="C17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3" s="60">
        <f t="array" ref="D173">IFERROR(
  IF(
    ISBLANK(INDEX(Zestawienie!B:B, MATCH(A173, Zestawienie!A:A, 0))),
    "",
    IF(C173="Wolne",
      IF(
        OR(
          ISBLANK(INDEX(Zestawienie!B:B, MATCH(A173, Zestawienie!A:A, 0))),
          NOT(ISNUMBER(INDEX(Zestawienie!B:B, MATCH(A173, Zestawienie!A:A, 0))))
        ),
        "",
        TODAY()-INDEX(Zestawienie!B:B, MATCH(A173, Zestawienie!A:A, 0))
      ),
      IF(OR(C173="Zajęte", C173="Spóźnione"),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503</v>
      </c>
      <c r="E173" s="62"/>
    </row>
    <row r="174">
      <c r="A174" s="57">
        <v>173.0</v>
      </c>
      <c r="B174" s="58" t="str">
        <f>IFERROR(__xludf.DUMMYFUNCTION("IF(
  OR(C174=""Zajęte"", C174=""Spóźnione""),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4" s="59" t="str">
        <f t="array" ref="C17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4" s="60">
        <f t="array" ref="D174">IFERROR(
  IF(
    ISBLANK(INDEX(Zestawienie!B:B, MATCH(A174, Zestawienie!A:A, 0))),
    "",
    IF(C174="Wolne",
      IF(
        OR(
          ISBLANK(INDEX(Zestawienie!B:B, MATCH(A174, Zestawienie!A:A, 0))),
          NOT(ISNUMBER(INDEX(Zestawienie!B:B, MATCH(A174, Zestawienie!A:A, 0))))
        ),
        "",
        TODAY()-INDEX(Zestawienie!B:B, MATCH(A174, Zestawienie!A:A, 0))
      ),
      IF(OR(C174="Zajęte", C174="Spóźnione"),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300</v>
      </c>
      <c r="E174" s="62"/>
    </row>
    <row r="175">
      <c r="A175" s="57">
        <v>174.0</v>
      </c>
      <c r="B175" s="58" t="str">
        <f>IFERROR(__xludf.DUMMYFUNCTION("IF(
  OR(C175=""Zajęte"", C175=""Spóźnione""),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5" s="59" t="str">
        <f t="array" ref="C17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5" s="60">
        <f t="array" ref="D175">IFERROR(
  IF(
    ISBLANK(INDEX(Zestawienie!B:B, MATCH(A175, Zestawienie!A:A, 0))),
    "",
    IF(C175="Wolne",
      IF(
        OR(
          ISBLANK(INDEX(Zestawienie!B:B, MATCH(A175, Zestawienie!A:A, 0))),
          NOT(ISNUMBER(INDEX(Zestawienie!B:B, MATCH(A175, Zestawienie!A:A, 0))))
        ),
        "",
        TODAY()-INDEX(Zestawienie!B:B, MATCH(A175, Zestawienie!A:A, 0))
      ),
      IF(OR(C175="Zajęte", C175="Spóźnione"),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440</v>
      </c>
      <c r="E175" s="62"/>
    </row>
    <row r="176">
      <c r="A176" s="57">
        <v>175.0</v>
      </c>
      <c r="B176" s="58" t="str">
        <f>IFERROR(__xludf.DUMMYFUNCTION("IF(
  OR(C176=""Zajęte"", C176=""Spóźnione""),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"),"Geszczyński Tomasz")</f>
        <v>Geszczyński Tomasz</v>
      </c>
      <c r="C176" s="59" t="str">
        <f t="array" ref="C17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76" s="60">
        <f t="array" ref="D176">IFERROR(
  IF(
    ISBLANK(INDEX(Zestawienie!B:B, MATCH(A176, Zestawienie!A:A, 0))),
    "",
    IF(C176="Wolne",
      IF(
        OR(
          ISBLANK(INDEX(Zestawienie!B:B, MATCH(A176, Zestawienie!A:A, 0))),
          NOT(ISNUMBER(INDEX(Zestawienie!B:B, MATCH(A176, Zestawienie!A:A, 0))))
        ),
        "",
        TODAY()-INDEX(Zestawienie!B:B, MATCH(A176, Zestawienie!A:A, 0))
      ),
      IF(OR(C176="Zajęte", C176="Spóźnione"),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v>
      </c>
      <c r="E176" s="62"/>
    </row>
    <row r="177">
      <c r="A177" s="57">
        <v>176.0</v>
      </c>
      <c r="B177" s="58" t="str">
        <f>IFERROR(__xludf.DUMMYFUNCTION("IF(
  OR(C177=""Zajęte"", C177=""Spóźnione""),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"),"Duda Małgorzata")</f>
        <v>Duda Małgorzata</v>
      </c>
      <c r="C177" s="59" t="str">
        <f t="array" ref="C17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177" s="60">
        <f t="array" ref="D177">IFERROR(
  IF(
    ISBLANK(INDEX(Zestawienie!B:B, MATCH(A177, Zestawienie!A:A, 0))),
    "",
    IF(C177="Wolne",
      IF(
        OR(
          ISBLANK(INDEX(Zestawienie!B:B, MATCH(A177, Zestawienie!A:A, 0))),
          NOT(ISNUMBER(INDEX(Zestawienie!B:B, MATCH(A177, Zestawienie!A:A, 0))))
        ),
        "",
        TODAY()-INDEX(Zestawienie!B:B, MATCH(A177, Zestawienie!A:A, 0))
      ),
      IF(OR(C177="Zajęte", C177="Spóźnione"),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161</v>
      </c>
      <c r="E177" s="62"/>
    </row>
    <row r="178">
      <c r="A178" s="57">
        <v>177.0</v>
      </c>
      <c r="B178" s="58" t="str">
        <f>IFERROR(__xludf.DUMMYFUNCTION("IF(
  OR(C178=""Zajęte"", C178=""Spóźnione""),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"),"Geszczyński Tomasz")</f>
        <v>Geszczyński Tomasz</v>
      </c>
      <c r="C178" s="59" t="str">
        <f t="array" ref="C17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78" s="60">
        <f t="array" ref="D178">IFERROR(
  IF(
    ISBLANK(INDEX(Zestawienie!B:B, MATCH(A178, Zestawienie!A:A, 0))),
    "",
    IF(C178="Wolne",
      IF(
        OR(
          ISBLANK(INDEX(Zestawienie!B:B, MATCH(A178, Zestawienie!A:A, 0))),
          NOT(ISNUMBER(INDEX(Zestawienie!B:B, MATCH(A178, Zestawienie!A:A, 0))))
        ),
        "",
        TODAY()-INDEX(Zestawienie!B:B, MATCH(A178, Zestawienie!A:A, 0))
      ),
      IF(OR(C178="Zajęte", C178="Spóźnione"),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v>
      </c>
      <c r="E178" s="62"/>
    </row>
    <row r="179">
      <c r="A179" s="57">
        <v>178.0</v>
      </c>
      <c r="B179" s="58" t="str">
        <f>IFERROR(__xludf.DUMMYFUNCTION("IF(
  OR(C179=""Zajęte"", C179=""Spóźnione""),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79" s="59" t="str">
        <f t="array" ref="C17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79" s="60">
        <f t="array" ref="D179">IFERROR(
  IF(
    ISBLANK(INDEX(Zestawienie!B:B, MATCH(A179, Zestawienie!A:A, 0))),
    "",
    IF(C179="Wolne",
      IF(
        OR(
          ISBLANK(INDEX(Zestawienie!B:B, MATCH(A179, Zestawienie!A:A, 0))),
          NOT(ISNUMBER(INDEX(Zestawienie!B:B, MATCH(A179, Zestawienie!A:A, 0))))
        ),
        "",
        TODAY()-INDEX(Zestawienie!B:B, MATCH(A179, Zestawienie!A:A, 0))
      ),
      IF(OR(C179="Zajęte", C179="Spóźnione"),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IF(C179="Zajęte",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255</v>
      </c>
      <c r="E179" s="62"/>
    </row>
    <row r="180">
      <c r="A180" s="57">
        <v>179.0</v>
      </c>
      <c r="B180" s="58" t="str">
        <f>IFERROR(__xludf.DUMMYFUNCTION("IF(
  OR(C180=""Zajęte"", C180=""Spóźnione""),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0" s="59" t="str">
        <f t="array" ref="C18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0" s="60">
        <f t="array" ref="D180">IFERROR(
  IF(
    ISBLANK(INDEX(Zestawienie!B:B, MATCH(A180, Zestawienie!A:A, 0))),
    "",
    IF(C180="Wolne",
      IF(
        OR(
          ISBLANK(INDEX(Zestawienie!B:B, MATCH(A180, Zestawienie!A:A, 0))),
          NOT(ISNUMBER(INDEX(Zestawienie!B:B, MATCH(A180, Zestawienie!A:A, 0))))
        ),
        "",
        TODAY()-INDEX(Zestawienie!B:B, MATCH(A180, Zestawienie!A:A, 0))
      ),
      IF(OR(C180="Zajęte", C180="Spóźnione"),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180" s="62"/>
    </row>
    <row r="181">
      <c r="A181" s="57">
        <v>180.0</v>
      </c>
      <c r="B181" s="58" t="str">
        <f>IFERROR(__xludf.DUMMYFUNCTION("IF(
  OR(C181=""Zajęte"", C181=""Spóźnione""),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1" s="59" t="str">
        <f t="array" ref="C18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1" s="60">
        <f t="array" ref="D181">IFERROR(
  IF(
    ISBLANK(INDEX(Zestawienie!B:B, MATCH(A181, Zestawienie!A:A, 0))),
    "",
    IF(C181="Wolne",
      IF(
        OR(
          ISBLANK(INDEX(Zestawienie!B:B, MATCH(A181, Zestawienie!A:A, 0))),
          NOT(ISNUMBER(INDEX(Zestawienie!B:B, MATCH(A181, Zestawienie!A:A, 0))))
        ),
        "",
        TODAY()-INDEX(Zestawienie!B:B, MATCH(A181, Zestawienie!A:A, 0))
      ),
      IF(OR(C181="Zajęte", C181="Spóźnione"),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689</v>
      </c>
      <c r="E181" s="62"/>
    </row>
    <row r="182">
      <c r="A182" s="57">
        <v>181.0</v>
      </c>
      <c r="B182" s="58" t="str">
        <f>IFERROR(__xludf.DUMMYFUNCTION("IF(
  OR(C182=""Zajęte"", C182=""Spóźnione""),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2" s="59" t="str">
        <f t="array" ref="C18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2" s="60">
        <f t="array" ref="D182">IFERROR(
  IF(
    ISBLANK(INDEX(Zestawienie!B:B, MATCH(A182, Zestawienie!A:A, 0))),
    "",
    IF(C182="Wolne",
      IF(
        OR(
          ISBLANK(INDEX(Zestawienie!B:B, MATCH(A182, Zestawienie!A:A, 0))),
          NOT(ISNUMBER(INDEX(Zestawienie!B:B, MATCH(A182, Zestawienie!A:A, 0))))
        ),
        "",
        TODAY()-INDEX(Zestawienie!B:B, MATCH(A182, Zestawienie!A:A, 0))
      ),
      IF(OR(C182="Zajęte", C182="Spóźnione"),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243</v>
      </c>
      <c r="E182" s="62"/>
    </row>
    <row r="183">
      <c r="A183" s="57">
        <v>182.0</v>
      </c>
      <c r="B183" s="58" t="str">
        <f>IFERROR(__xludf.DUMMYFUNCTION("IF(
  OR(C183=""Zajęte"", C183=""Spóźnione""),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3" s="59" t="str">
        <f t="array" ref="C18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3" s="60">
        <f t="array" ref="D183">IFERROR(
  IF(
    ISBLANK(INDEX(Zestawienie!B:B, MATCH(A183, Zestawienie!A:A, 0))),
    "",
    IF(C183="Wolne",
      IF(
        OR(
          ISBLANK(INDEX(Zestawienie!B:B, MATCH(A183, Zestawienie!A:A, 0))),
          NOT(ISNUMBER(INDEX(Zestawienie!B:B, MATCH(A183, Zestawienie!A:A, 0))))
        ),
        "",
        TODAY()-INDEX(Zestawienie!B:B, MATCH(A183, Zestawienie!A:A, 0))
      ),
      IF(OR(C183="Zajęte", C183="Spóźnione"),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197</v>
      </c>
      <c r="E183" s="62"/>
    </row>
    <row r="184">
      <c r="A184" s="57">
        <v>183.0</v>
      </c>
      <c r="B184" s="58" t="str">
        <f>IFERROR(__xludf.DUMMYFUNCTION("IF(
  OR(C184=""Zajęte"", C184=""Spóźnione""),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4" s="59" t="str">
        <f t="array" ref="C18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4" s="60">
        <f t="array" ref="D184">IFERROR(
  IF(
    ISBLANK(INDEX(Zestawienie!B:B, MATCH(A184, Zestawienie!A:A, 0))),
    "",
    IF(C184="Wolne",
      IF(
        OR(
          ISBLANK(INDEX(Zestawienie!B:B, MATCH(A184, Zestawienie!A:A, 0))),
          NOT(ISNUMBER(INDEX(Zestawienie!B:B, MATCH(A184, Zestawienie!A:A, 0))))
        ),
        "",
        TODAY()-INDEX(Zestawienie!B:B, MATCH(A184, Zestawienie!A:A, 0))
      ),
      IF(OR(C184="Zajęte", C184="Spóźnione"),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227</v>
      </c>
      <c r="E184" s="62"/>
    </row>
    <row r="185">
      <c r="A185" s="57">
        <v>184.0</v>
      </c>
      <c r="B185" s="58" t="str">
        <f>IFERROR(__xludf.DUMMYFUNCTION("IF(
  OR(C185=""Zajęte"", C185=""Spóźnione""),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"),"Stolarz Daniel")</f>
        <v>Stolarz Daniel</v>
      </c>
      <c r="C185" s="59" t="str">
        <f t="array" ref="C18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185" s="60">
        <f t="array" ref="D185">IFERROR(
  IF(
    ISBLANK(INDEX(Zestawienie!B:B, MATCH(A185, Zestawienie!A:A, 0))),
    "",
    IF(C185="Wolne",
      IF(
        OR(
          ISBLANK(INDEX(Zestawienie!B:B, MATCH(A185, Zestawienie!A:A, 0))),
          NOT(ISNUMBER(INDEX(Zestawienie!B:B, MATCH(A185, Zestawienie!A:A, 0))))
        ),
        "",
        TODAY()-INDEX(Zestawienie!B:B, MATCH(A185, Zestawienie!A:A, 0))
      ),
      IF(OR(C185="Zajęte", C185="Spóźnione"),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111</v>
      </c>
      <c r="E185" s="62"/>
    </row>
    <row r="186">
      <c r="A186" s="57">
        <v>185.0</v>
      </c>
      <c r="B186" s="58" t="str">
        <f>IFERROR(__xludf.DUMMYFUNCTION("IF(
  OR(C186=""Zajęte"", C186=""Spóźnione""),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6" s="59" t="str">
        <f t="array" ref="C18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6" s="60">
        <f t="array" ref="D186">IFERROR(
  IF(
    ISBLANK(INDEX(Zestawienie!B:B, MATCH(A186, Zestawienie!A:A, 0))),
    "",
    IF(C186="Wolne",
      IF(
        OR(
          ISBLANK(INDEX(Zestawienie!B:B, MATCH(A186, Zestawienie!A:A, 0))),
          NOT(ISNUMBER(INDEX(Zestawienie!B:B, MATCH(A186, Zestawienie!A:A, 0))))
        ),
        "",
        TODAY()-INDEX(Zestawienie!B:B, MATCH(A186, Zestawienie!A:A, 0))
      ),
      IF(OR(C186="Zajęte", C186="Spóźnione"),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243</v>
      </c>
      <c r="E186" s="62"/>
    </row>
    <row r="187">
      <c r="A187" s="57">
        <v>186.0</v>
      </c>
      <c r="B187" s="58" t="str">
        <f>IFERROR(__xludf.DUMMYFUNCTION("IF(
  OR(C187=""Zajęte"", C187=""Spóźnione""),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7" s="59" t="str">
        <f t="array" ref="C18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7" s="60">
        <f t="array" ref="D187">IFERROR(
  IF(
    ISBLANK(INDEX(Zestawienie!B:B, MATCH(A187, Zestawienie!A:A, 0))),
    "",
    IF(C187="Wolne",
      IF(
        OR(
          ISBLANK(INDEX(Zestawienie!B:B, MATCH(A187, Zestawienie!A:A, 0))),
          NOT(ISNUMBER(INDEX(Zestawienie!B:B, MATCH(A187, Zestawienie!A:A, 0))))
        ),
        "",
        TODAY()-INDEX(Zestawienie!B:B, MATCH(A187, Zestawienie!A:A, 0))
      ),
      IF(OR(C187="Zajęte", C187="Spóźnione"),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187" s="62"/>
    </row>
    <row r="188">
      <c r="A188" s="57">
        <v>187.0</v>
      </c>
      <c r="B188" s="58" t="str">
        <f>IFERROR(__xludf.DUMMYFUNCTION("IF(
  OR(C188=""Zajęte"", C188=""Spóźnione""),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8" s="59" t="str">
        <f t="array" ref="C18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8" s="60">
        <f t="array" ref="D188">IFERROR(
  IF(
    ISBLANK(INDEX(Zestawienie!B:B, MATCH(A188, Zestawienie!A:A, 0))),
    "",
    IF(C188="Wolne",
      IF(
        OR(
          ISBLANK(INDEX(Zestawienie!B:B, MATCH(A188, Zestawienie!A:A, 0))),
          NOT(ISNUMBER(INDEX(Zestawienie!B:B, MATCH(A188, Zestawienie!A:A, 0))))
        ),
        "",
        TODAY()-INDEX(Zestawienie!B:B, MATCH(A188, Zestawienie!A:A, 0))
      ),
      IF(OR(C188="Zajęte", C188="Spóźnione"),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318</v>
      </c>
      <c r="E188" s="62"/>
    </row>
    <row r="189">
      <c r="A189" s="57">
        <v>188.0</v>
      </c>
      <c r="B189" s="58" t="str">
        <f>IFERROR(__xludf.DUMMYFUNCTION("IF(
  OR(C189=""Zajęte"", C189=""Spóźnione""),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89" s="59" t="str">
        <f t="array" ref="C18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89" s="60">
        <f t="array" ref="D189">IFERROR(
  IF(
    ISBLANK(INDEX(Zestawienie!B:B, MATCH(A189, Zestawienie!A:A, 0))),
    "",
    IF(C189="Wolne",
      IF(
        OR(
          ISBLANK(INDEX(Zestawienie!B:B, MATCH(A189, Zestawienie!A:A, 0))),
          NOT(ISNUMBER(INDEX(Zestawienie!B:B, MATCH(A189, Zestawienie!A:A, 0))))
        ),
        "",
        TODAY()-INDEX(Zestawienie!B:B, MATCH(A189, Zestawienie!A:A, 0))
      ),
      IF(OR(C189="Zajęte", C189="Spóźnione"),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IF(C189="Zajęte",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191</v>
      </c>
      <c r="E189" s="62"/>
    </row>
    <row r="190">
      <c r="A190" s="57">
        <v>189.0</v>
      </c>
      <c r="B190" s="58" t="str">
        <f>IFERROR(__xludf.DUMMYFUNCTION("IF(
  OR(C190=""Zajęte"", C190=""Spóźnione""),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"),"Stolarz Daniel")</f>
        <v>Stolarz Daniel</v>
      </c>
      <c r="C190" s="59" t="str">
        <f t="array" ref="C19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90" s="60">
        <f t="array" ref="D190">IFERROR(
  IF(
    ISBLANK(INDEX(Zestawienie!B:B, MATCH(A190, Zestawienie!A:A, 0))),
    "",
    IF(C190="Wolne",
      IF(
        OR(
          ISBLANK(INDEX(Zestawienie!B:B, MATCH(A190, Zestawienie!A:A, 0))),
          NOT(ISNUMBER(INDEX(Zestawienie!B:B, MATCH(A190, Zestawienie!A:A, 0))))
        ),
        "",
        TODAY()-INDEX(Zestawienie!B:B, MATCH(A190, Zestawienie!A:A, 0))
      ),
      IF(OR(C190="Zajęte", C190="Spóźnione"),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16</v>
      </c>
      <c r="E190" s="62"/>
    </row>
    <row r="191">
      <c r="A191" s="57">
        <v>190.0</v>
      </c>
      <c r="B191" s="58" t="str">
        <f>IFERROR(__xludf.DUMMYFUNCTION("IF(
  OR(C191=""Zajęte"", C191=""Spóźnione""),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1" s="59" t="str">
        <f t="array" ref="C19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1" s="60">
        <f t="array" ref="D191">IFERROR(
  IF(
    ISBLANK(INDEX(Zestawienie!B:B, MATCH(A191, Zestawienie!A:A, 0))),
    "",
    IF(C191="Wolne",
      IF(
        OR(
          ISBLANK(INDEX(Zestawienie!B:B, MATCH(A191, Zestawienie!A:A, 0))),
          NOT(ISNUMBER(INDEX(Zestawienie!B:B, MATCH(A191, Zestawienie!A:A, 0))))
        ),
        "",
        TODAY()-INDEX(Zestawienie!B:B, MATCH(A191, Zestawienie!A:A, 0))
      ),
      IF(OR(C191="Zajęte", C191="Spóźnione"),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130</v>
      </c>
      <c r="E191" s="62"/>
    </row>
    <row r="192">
      <c r="A192" s="57">
        <v>191.0</v>
      </c>
      <c r="B192" s="58" t="str">
        <f>IFERROR(__xludf.DUMMYFUNCTION("IF(
  OR(C192=""Zajęte"", C192=""Spóźnione""),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"),"Stolarz Daniel")</f>
        <v>Stolarz Daniel</v>
      </c>
      <c r="C192" s="59" t="str">
        <f t="array" ref="C19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192" s="60">
        <f t="array" ref="D192">IFERROR(
  IF(
    ISBLANK(INDEX(Zestawienie!B:B, MATCH(A192, Zestawienie!A:A, 0))),
    "",
    IF(C192="Wolne",
      IF(
        OR(
          ISBLANK(INDEX(Zestawienie!B:B, MATCH(A192, Zestawienie!A:A, 0))),
          NOT(ISNUMBER(INDEX(Zestawienie!B:B, MATCH(A192, Zestawienie!A:A, 0))))
        ),
        "",
        TODAY()-INDEX(Zestawienie!B:B, MATCH(A192, Zestawienie!A:A, 0))
      ),
      IF(OR(C192="Zajęte", C192="Spóźnione"),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16</v>
      </c>
      <c r="E192" s="62"/>
    </row>
    <row r="193">
      <c r="A193" s="57">
        <v>192.0</v>
      </c>
      <c r="B193" s="58" t="str">
        <f>IFERROR(__xludf.DUMMYFUNCTION("IF(
  OR(C193=""Zajęte"", C193=""Spóźnione""),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3" s="59" t="str">
        <f t="array" ref="C19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3" s="60">
        <f t="array" ref="D193">IFERROR(
  IF(
    ISBLANK(INDEX(Zestawienie!B:B, MATCH(A193, Zestawienie!A:A, 0))),
    "",
    IF(C193="Wolne",
      IF(
        OR(
          ISBLANK(INDEX(Zestawienie!B:B, MATCH(A193, Zestawienie!A:A, 0))),
          NOT(ISNUMBER(INDEX(Zestawienie!B:B, MATCH(A193, Zestawienie!A:A, 0))))
        ),
        "",
        TODAY()-INDEX(Zestawienie!B:B, MATCH(A193, Zestawienie!A:A, 0))
      ),
      IF(OR(C193="Zajęte", C193="Spóźnione"),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1194</v>
      </c>
      <c r="E193" s="62"/>
    </row>
    <row r="194">
      <c r="A194" s="57">
        <v>193.0</v>
      </c>
      <c r="B194" s="58" t="str">
        <f>IFERROR(__xludf.DUMMYFUNCTION("IF(
  OR(C194=""Zajęte"", C194=""Spóźnione""),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4" s="59" t="str">
        <f t="array" ref="C19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4" s="60">
        <f t="array" ref="D194">IFERROR(
  IF(
    ISBLANK(INDEX(Zestawienie!B:B, MATCH(A194, Zestawienie!A:A, 0))),
    "",
    IF(C194="Wolne",
      IF(
        OR(
          ISBLANK(INDEX(Zestawienie!B:B, MATCH(A194, Zestawienie!A:A, 0))),
          NOT(ISNUMBER(INDEX(Zestawienie!B:B, MATCH(A194, Zestawienie!A:A, 0))))
        ),
        "",
        TODAY()-INDEX(Zestawienie!B:B, MATCH(A194, Zestawienie!A:A, 0))
      ),
      IF(OR(C194="Zajęte", C194="Spóźnione"),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689</v>
      </c>
      <c r="E194" s="62"/>
    </row>
    <row r="195">
      <c r="A195" s="57">
        <v>194.0</v>
      </c>
      <c r="B195" s="58" t="str">
        <f>IFERROR(__xludf.DUMMYFUNCTION("IF(
  OR(C195=""Zajęte"", C195=""Spóźnione""),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5" s="59" t="str">
        <f t="array" ref="C19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5" s="60">
        <f t="array" ref="D195">IFERROR(
  IF(
    ISBLANK(INDEX(Zestawienie!B:B, MATCH(A195, Zestawienie!A:A, 0))),
    "",
    IF(C195="Wolne",
      IF(
        OR(
          ISBLANK(INDEX(Zestawienie!B:B, MATCH(A195, Zestawienie!A:A, 0))),
          NOT(ISNUMBER(INDEX(Zestawienie!B:B, MATCH(A195, Zestawienie!A:A, 0))))
        ),
        "",
        TODAY()-INDEX(Zestawienie!B:B, MATCH(A195, Zestawienie!A:A, 0))
      ),
      IF(OR(C195="Zajęte", C195="Spóźnione"),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274</v>
      </c>
      <c r="E195" s="62"/>
    </row>
    <row r="196">
      <c r="A196" s="57">
        <v>195.0</v>
      </c>
      <c r="B196" s="58" t="str">
        <f>IFERROR(__xludf.DUMMYFUNCTION("IF(
  OR(C196=""Zajęte"", C196=""Spóźnione""),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6" s="59" t="str">
        <f t="array" ref="C19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6" s="60">
        <f t="array" ref="D196">IFERROR(
  IF(
    ISBLANK(INDEX(Zestawienie!B:B, MATCH(A196, Zestawienie!A:A, 0))),
    "",
    IF(C196="Wolne",
      IF(
        OR(
          ISBLANK(INDEX(Zestawienie!B:B, MATCH(A196, Zestawienie!A:A, 0))),
          NOT(ISNUMBER(INDEX(Zestawienie!B:B, MATCH(A196, Zestawienie!A:A, 0))))
        ),
        "",
        TODAY()-INDEX(Zestawienie!B:B, MATCH(A196, Zestawienie!A:A, 0))
      ),
      IF(OR(C196="Zajęte", C196="Spóźnione"),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196" s="62"/>
    </row>
    <row r="197">
      <c r="A197" s="57">
        <v>196.0</v>
      </c>
      <c r="B197" s="58" t="str">
        <f>IFERROR(__xludf.DUMMYFUNCTION("IF(
  OR(C197=""Zajęte"", C197=""Spóźnione""),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7" s="59" t="str">
        <f t="array" ref="C19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7" s="60">
        <f t="array" ref="D197">IFERROR(
  IF(
    ISBLANK(INDEX(Zestawienie!B:B, MATCH(A197, Zestawienie!A:A, 0))),
    "",
    IF(C197="Wolne",
      IF(
        OR(
          ISBLANK(INDEX(Zestawienie!B:B, MATCH(A197, Zestawienie!A:A, 0))),
          NOT(ISNUMBER(INDEX(Zestawienie!B:B, MATCH(A197, Zestawienie!A:A, 0))))
        ),
        "",
        TODAY()-INDEX(Zestawienie!B:B, MATCH(A197, Zestawienie!A:A, 0))
      ),
      IF(OR(C197="Zajęte", C197="Spóźnione"),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197" s="62"/>
    </row>
    <row r="198">
      <c r="A198" s="57">
        <v>197.0</v>
      </c>
      <c r="B198" s="58" t="str">
        <f>IFERROR(__xludf.DUMMYFUNCTION("IF(
  OR(C198=""Zajęte"", C198=""Spóźnione""),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Aleksandra")</f>
        <v>Olender Aleksandra</v>
      </c>
      <c r="C198" s="59" t="str">
        <f t="array" ref="C19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198" s="60">
        <f t="array" ref="D198">IFERROR(
  IF(
    ISBLANK(INDEX(Zestawienie!B:B, MATCH(A198, Zestawienie!A:A, 0))),
    "",
    IF(C198="Wolne",
      IF(
        OR(
          ISBLANK(INDEX(Zestawienie!B:B, MATCH(A198, Zestawienie!A:A, 0))),
          NOT(ISNUMBER(INDEX(Zestawienie!B:B, MATCH(A198, Zestawienie!A:A, 0))))
        ),
        "",
        TODAY()-INDEX(Zestawienie!B:B, MATCH(A198, Zestawienie!A:A, 0))
      ),
      IF(OR(C198="Zajęte", C198="Spóźnione"),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68</v>
      </c>
      <c r="E198" s="62"/>
    </row>
    <row r="199">
      <c r="A199" s="57">
        <v>198.0</v>
      </c>
      <c r="B199" s="58" t="str">
        <f>IFERROR(__xludf.DUMMYFUNCTION("IF(
  OR(C199=""Zajęte"", C199=""Spóźnione""),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199" s="59" t="str">
        <f t="array" ref="C19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199" s="60">
        <f t="array" ref="D199">IFERROR(
  IF(
    ISBLANK(INDEX(Zestawienie!B:B, MATCH(A199, Zestawienie!A:A, 0))),
    "",
    IF(C199="Wolne",
      IF(
        OR(
          ISBLANK(INDEX(Zestawienie!B:B, MATCH(A199, Zestawienie!A:A, 0))),
          NOT(ISNUMBER(INDEX(Zestawienie!B:B, MATCH(A199, Zestawienie!A:A, 0))))
        ),
        "",
        TODAY()-INDEX(Zestawienie!B:B, MATCH(A199, Zestawienie!A:A, 0))
      ),
      IF(OR(C199="Zajęte", C199="Spóźnione"),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IF(C199="Zajęte",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199" s="62"/>
    </row>
    <row r="200">
      <c r="A200" s="57">
        <v>199.0</v>
      </c>
      <c r="B200" s="58" t="str">
        <f>IFERROR(__xludf.DUMMYFUNCTION("IF(
  OR(C200=""Zajęte"", C200=""Spóźnione""),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0" s="59" t="str">
        <f t="array" ref="C20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0" s="60">
        <f t="array" ref="D200">IFERROR(
  IF(
    ISBLANK(INDEX(Zestawienie!B:B, MATCH(A200, Zestawienie!A:A, 0))),
    "",
    IF(C200="Wolne",
      IF(
        OR(
          ISBLANK(INDEX(Zestawienie!B:B, MATCH(A200, Zestawienie!A:A, 0))),
          NOT(ISNUMBER(INDEX(Zestawienie!B:B, MATCH(A200, Zestawienie!A:A, 0))))
        ),
        "",
        TODAY()-INDEX(Zestawienie!B:B, MATCH(A200, Zestawienie!A:A, 0))
      ),
      IF(OR(C200="Zajęte", C200="Spóźnione"),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274</v>
      </c>
      <c r="E200" s="62"/>
    </row>
    <row r="201">
      <c r="A201" s="57">
        <v>200.0</v>
      </c>
      <c r="B201" s="58" t="str">
        <f>IFERROR(__xludf.DUMMYFUNCTION("IF(
  OR(C201=""Zajęte"", C201=""Spóźnione""),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1" s="59" t="str">
        <f t="array" ref="C20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1" s="60">
        <f t="array" ref="D201">IFERROR(
  IF(
    ISBLANK(INDEX(Zestawienie!B:B, MATCH(A201, Zestawienie!A:A, 0))),
    "",
    IF(C201="Wolne",
      IF(
        OR(
          ISBLANK(INDEX(Zestawienie!B:B, MATCH(A201, Zestawienie!A:A, 0))),
          NOT(ISNUMBER(INDEX(Zestawienie!B:B, MATCH(A201, Zestawienie!A:A, 0))))
        ),
        "",
        TODAY()-INDEX(Zestawienie!B:B, MATCH(A201, Zestawienie!A:A, 0))
      ),
      IF(OR(C201="Zajęte", C201="Spóźnione"),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149</v>
      </c>
      <c r="E201" s="62"/>
    </row>
    <row r="202">
      <c r="A202" s="57">
        <v>201.0</v>
      </c>
      <c r="B202" s="58" t="str">
        <f>IFERROR(__xludf.DUMMYFUNCTION("IF(
  OR(C202=""Zajęte"", C202=""Spóźnione""),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2" s="59" t="str">
        <f t="array" ref="C20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2" s="60">
        <f t="array" ref="D202">IFERROR(
  IF(
    ISBLANK(INDEX(Zestawienie!B:B, MATCH(A202, Zestawienie!A:A, 0))),
    "",
    IF(C202="Wolne",
      IF(
        OR(
          ISBLANK(INDEX(Zestawienie!B:B, MATCH(A202, Zestawienie!A:A, 0))),
          NOT(ISNUMBER(INDEX(Zestawienie!B:B, MATCH(A202, Zestawienie!A:A, 0))))
        ),
        "",
        TODAY()-INDEX(Zestawienie!B:B, MATCH(A202, Zestawienie!A:A, 0))
      ),
      IF(OR(C202="Zajęte", C202="Spóźnione"),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414</v>
      </c>
      <c r="E202" s="62"/>
    </row>
    <row r="203">
      <c r="A203" s="57">
        <v>202.0</v>
      </c>
      <c r="B203" s="58" t="str">
        <f>IFERROR(__xludf.DUMMYFUNCTION("IF(
  OR(C203=""Zajęte"", C203=""Spóźnione""),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3" s="59" t="str">
        <f t="array" ref="C20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3" s="60">
        <f t="array" ref="D203">IFERROR(
  IF(
    ISBLANK(INDEX(Zestawienie!B:B, MATCH(A203, Zestawienie!A:A, 0))),
    "",
    IF(C203="Wolne",
      IF(
        OR(
          ISBLANK(INDEX(Zestawienie!B:B, MATCH(A203, Zestawienie!A:A, 0))),
          NOT(ISNUMBER(INDEX(Zestawienie!B:B, MATCH(A203, Zestawienie!A:A, 0))))
        ),
        "",
        TODAY()-INDEX(Zestawienie!B:B, MATCH(A203, Zestawienie!A:A, 0))
      ),
      IF(OR(C203="Zajęte", C203="Spóźnione"),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203" s="62"/>
    </row>
    <row r="204">
      <c r="A204" s="57">
        <v>203.0</v>
      </c>
      <c r="B204" s="58" t="str">
        <f>IFERROR(__xludf.DUMMYFUNCTION("IF(
  OR(C204=""Zajęte"", C204=""Spóźnione""),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4" s="59" t="str">
        <f t="array" ref="C20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4" s="60">
        <f t="array" ref="D204">IFERROR(
  IF(
    ISBLANK(INDEX(Zestawienie!B:B, MATCH(A204, Zestawienie!A:A, 0))),
    "",
    IF(C204="Wolne",
      IF(
        OR(
          ISBLANK(INDEX(Zestawienie!B:B, MATCH(A204, Zestawienie!A:A, 0))),
          NOT(ISNUMBER(INDEX(Zestawienie!B:B, MATCH(A204, Zestawienie!A:A, 0))))
        ),
        "",
        TODAY()-INDEX(Zestawienie!B:B, MATCH(A204, Zestawienie!A:A, 0))
      ),
      IF(OR(C204="Zajęte", C204="Spóźnione"),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174</v>
      </c>
      <c r="E204" s="62"/>
    </row>
    <row r="205">
      <c r="A205" s="57">
        <v>204.0</v>
      </c>
      <c r="B205" s="58" t="str">
        <f>IFERROR(__xludf.DUMMYFUNCTION("IF(
  OR(C205=""Zajęte"", C205=""Spóźnione""),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5" s="59" t="str">
        <f t="array" ref="C20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5" s="60">
        <f t="array" ref="D205">IFERROR(
  IF(
    ISBLANK(INDEX(Zestawienie!B:B, MATCH(A205, Zestawienie!A:A, 0))),
    "",
    IF(C205="Wolne",
      IF(
        OR(
          ISBLANK(INDEX(Zestawienie!B:B, MATCH(A205, Zestawienie!A:A, 0))),
          NOT(ISNUMBER(INDEX(Zestawienie!B:B, MATCH(A205, Zestawienie!A:A, 0))))
        ),
        "",
        TODAY()-INDEX(Zestawienie!B:B, MATCH(A205, Zestawienie!A:A, 0))
      ),
      IF(OR(C205="Zajęte", C205="Spóźnione"),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157</v>
      </c>
      <c r="E205" s="62"/>
    </row>
    <row r="206">
      <c r="A206" s="57">
        <v>205.0</v>
      </c>
      <c r="B206" s="58" t="str">
        <f>IFERROR(__xludf.DUMMYFUNCTION("IF(
  OR(C206=""Zajęte"", C206=""Spóźnione""),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6" s="59" t="str">
        <f t="array" ref="C20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6" s="60">
        <f t="array" ref="D206">IFERROR(
  IF(
    ISBLANK(INDEX(Zestawienie!B:B, MATCH(A206, Zestawienie!A:A, 0))),
    "",
    IF(C206="Wolne",
      IF(
        OR(
          ISBLANK(INDEX(Zestawienie!B:B, MATCH(A206, Zestawienie!A:A, 0))),
          NOT(ISNUMBER(INDEX(Zestawienie!B:B, MATCH(A206, Zestawienie!A:A, 0))))
        ),
        "",
        TODAY()-INDEX(Zestawienie!B:B, MATCH(A206, Zestawienie!A:A, 0))
      ),
      IF(OR(C206="Zajęte", C206="Spóźnione"),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139</v>
      </c>
      <c r="E206" s="62"/>
    </row>
    <row r="207">
      <c r="A207" s="57">
        <v>206.0</v>
      </c>
      <c r="B207" s="58" t="str">
        <f>IFERROR(__xludf.DUMMYFUNCTION("IF(
  OR(C207=""Zajęte"", C207=""Spóźnione""),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7" s="59" t="str">
        <f t="array" ref="C20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7" s="60">
        <f t="array" ref="D207">IFERROR(
  IF(
    ISBLANK(INDEX(Zestawienie!B:B, MATCH(A207, Zestawienie!A:A, 0))),
    "",
    IF(C207="Wolne",
      IF(
        OR(
          ISBLANK(INDEX(Zestawienie!B:B, MATCH(A207, Zestawienie!A:A, 0))),
          NOT(ISNUMBER(INDEX(Zestawienie!B:B, MATCH(A207, Zestawienie!A:A, 0))))
        ),
        "",
        TODAY()-INDEX(Zestawienie!B:B, MATCH(A207, Zestawienie!A:A, 0))
      ),
      IF(OR(C207="Zajęte", C207="Spóźnione"),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174</v>
      </c>
      <c r="E207" s="62"/>
    </row>
    <row r="208">
      <c r="A208" s="57">
        <v>207.0</v>
      </c>
      <c r="B208" s="58" t="str">
        <f>IFERROR(__xludf.DUMMYFUNCTION("IF(
  OR(C208=""Zajęte"", C208=""Spóźnione""),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"),"Słupski Michał")</f>
        <v>Słupski Michał</v>
      </c>
      <c r="C208" s="59" t="str">
        <f t="array" ref="C20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08" s="60">
        <f t="array" ref="D208">IFERROR(
  IF(
    ISBLANK(INDEX(Zestawienie!B:B, MATCH(A208, Zestawienie!A:A, 0))),
    "",
    IF(C208="Wolne",
      IF(
        OR(
          ISBLANK(INDEX(Zestawienie!B:B, MATCH(A208, Zestawienie!A:A, 0))),
          NOT(ISNUMBER(INDEX(Zestawienie!B:B, MATCH(A208, Zestawienie!A:A, 0))))
        ),
        "",
        TODAY()-INDEX(Zestawienie!B:B, MATCH(A208, Zestawienie!A:A, 0))
      ),
      IF(OR(C208="Zajęte", C208="Spóźnione"),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v>
      </c>
      <c r="E208" s="62"/>
    </row>
    <row r="209">
      <c r="A209" s="57">
        <v>208.0</v>
      </c>
      <c r="B209" s="58" t="str">
        <f>IFERROR(__xludf.DUMMYFUNCTION("IF(
  OR(C209=""Zajęte"", C209=""Spóźnione""),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09" s="59" t="str">
        <f t="array" ref="C20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09" s="60">
        <f t="array" ref="D209">IFERROR(
  IF(
    ISBLANK(INDEX(Zestawienie!B:B, MATCH(A209, Zestawienie!A:A, 0))),
    "",
    IF(C209="Wolne",
      IF(
        OR(
          ISBLANK(INDEX(Zestawienie!B:B, MATCH(A209, Zestawienie!A:A, 0))),
          NOT(ISNUMBER(INDEX(Zestawienie!B:B, MATCH(A209, Zestawienie!A:A, 0))))
        ),
        "",
        TODAY()-INDEX(Zestawienie!B:B, MATCH(A209, Zestawienie!A:A, 0))
      ),
      IF(OR(C209="Zajęte", C209="Spóźnione"),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IF(C209="Zajęte",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294</v>
      </c>
      <c r="E209" s="62"/>
    </row>
    <row r="210">
      <c r="A210" s="57">
        <v>209.0</v>
      </c>
      <c r="B210" s="58" t="str">
        <f>IFERROR(__xludf.DUMMYFUNCTION("IF(
  OR(C210=""Zajęte"", C210=""Spóźnione""),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"),"Słupski Michał")</f>
        <v>Słupski Michał</v>
      </c>
      <c r="C210" s="59" t="str">
        <f t="array" ref="C21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10" s="60">
        <f t="array" ref="D210">IFERROR(
  IF(
    ISBLANK(INDEX(Zestawienie!B:B, MATCH(A210, Zestawienie!A:A, 0))),
    "",
    IF(C210="Wolne",
      IF(
        OR(
          ISBLANK(INDEX(Zestawienie!B:B, MATCH(A210, Zestawienie!A:A, 0))),
          NOT(ISNUMBER(INDEX(Zestawienie!B:B, MATCH(A210, Zestawienie!A:A, 0))))
        ),
        "",
        TODAY()-INDEX(Zestawienie!B:B, MATCH(A210, Zestawienie!A:A, 0))
      ),
      IF(OR(C210="Zajęte", C210="Spóźnione"),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18</v>
      </c>
      <c r="E210" s="62"/>
    </row>
    <row r="211">
      <c r="A211" s="57">
        <v>210.0</v>
      </c>
      <c r="B211" s="58" t="str">
        <f>IFERROR(__xludf.DUMMYFUNCTION("IF(
  OR(C211=""Zajęte"", C211=""Spóźnione""),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"),"Słupski Michał")</f>
        <v>Słupski Michał</v>
      </c>
      <c r="C211" s="59" t="str">
        <f t="array" ref="C21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11" s="60">
        <f t="array" ref="D211">IFERROR(
  IF(
    ISBLANK(INDEX(Zestawienie!B:B, MATCH(A211, Zestawienie!A:A, 0))),
    "",
    IF(C211="Wolne",
      IF(
        OR(
          ISBLANK(INDEX(Zestawienie!B:B, MATCH(A211, Zestawienie!A:A, 0))),
          NOT(ISNUMBER(INDEX(Zestawienie!B:B, MATCH(A211, Zestawienie!A:A, 0))))
        ),
        "",
        TODAY()-INDEX(Zestawienie!B:B, MATCH(A211, Zestawienie!A:A, 0))
      ),
      IF(OR(C211="Zajęte", C211="Spóźnione"),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18</v>
      </c>
      <c r="E211" s="62"/>
    </row>
    <row r="212">
      <c r="A212" s="57">
        <v>211.0</v>
      </c>
      <c r="B212" s="58" t="str">
        <f>IFERROR(__xludf.DUMMYFUNCTION("IF(
  OR(C212=""Zajęte"", C212=""Spóźnione""),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"),"Nużczyński Jerzy")</f>
        <v>Nużczyński Jerzy</v>
      </c>
      <c r="C212" s="59" t="str">
        <f t="array" ref="C21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12" s="60">
        <f t="array" ref="D212">IFERROR(
  IF(
    ISBLANK(INDEX(Zestawienie!B:B, MATCH(A212, Zestawienie!A:A, 0))),
    "",
    IF(C212="Wolne",
      IF(
        OR(
          ISBLANK(INDEX(Zestawienie!B:B, MATCH(A212, Zestawienie!A:A, 0))),
          NOT(ISNUMBER(INDEX(Zestawienie!B:B, MATCH(A212, Zestawienie!A:A, 0))))
        ),
        "",
        TODAY()-INDEX(Zestawienie!B:B, MATCH(A212, Zestawienie!A:A, 0))
      ),
      IF(OR(C212="Zajęte", C212="Spóźnione"),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v>
      </c>
      <c r="E212" s="62"/>
    </row>
    <row r="213">
      <c r="A213" s="57">
        <v>212.0</v>
      </c>
      <c r="B213" s="58" t="str">
        <f>IFERROR(__xludf.DUMMYFUNCTION("IF(
  OR(C213=""Zajęte"", C213=""Spóźnione""),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13" s="59" t="str">
        <f t="array" ref="C21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13" s="60">
        <f t="array" ref="D213">IFERROR(
  IF(
    ISBLANK(INDEX(Zestawienie!B:B, MATCH(A213, Zestawienie!A:A, 0))),
    "",
    IF(C213="Wolne",
      IF(
        OR(
          ISBLANK(INDEX(Zestawienie!B:B, MATCH(A213, Zestawienie!A:A, 0))),
          NOT(ISNUMBER(INDEX(Zestawienie!B:B, MATCH(A213, Zestawienie!A:A, 0))))
        ),
        "",
        TODAY()-INDEX(Zestawienie!B:B, MATCH(A213, Zestawienie!A:A, 0))
      ),
      IF(OR(C213="Zajęte", C213="Spóźnione"),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191</v>
      </c>
      <c r="E213" s="62"/>
    </row>
    <row r="214">
      <c r="A214" s="57">
        <v>213.0</v>
      </c>
      <c r="B214" s="58" t="str">
        <f>IFERROR(__xludf.DUMMYFUNCTION("IF(
  OR(C214=""Zajęte"", C214=""Spóźnione""),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14" s="59" t="str">
        <f t="array" ref="C21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14" s="60">
        <f t="array" ref="D214">IFERROR(
  IF(
    ISBLANK(INDEX(Zestawienie!B:B, MATCH(A214, Zestawienie!A:A, 0))),
    "",
    IF(C214="Wolne",
      IF(
        OR(
          ISBLANK(INDEX(Zestawienie!B:B, MATCH(A214, Zestawienie!A:A, 0))),
          NOT(ISNUMBER(INDEX(Zestawienie!B:B, MATCH(A214, Zestawienie!A:A, 0))))
        ),
        "",
        TODAY()-INDEX(Zestawienie!B:B, MATCH(A214, Zestawienie!A:A, 0))
      ),
      IF(OR(C214="Zajęte", C214="Spóźnione"),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191</v>
      </c>
      <c r="E214" s="62"/>
    </row>
    <row r="215">
      <c r="A215" s="57">
        <v>214.0</v>
      </c>
      <c r="B215" s="58" t="str">
        <f>IFERROR(__xludf.DUMMYFUNCTION("IF(
  OR(C215=""Zajęte"", C215=""Spóźnione""),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15" s="59" t="str">
        <f t="array" ref="C21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15" s="60">
        <f t="array" ref="D215">IFERROR(
  IF(
    ISBLANK(INDEX(Zestawienie!B:B, MATCH(A215, Zestawienie!A:A, 0))),
    "",
    IF(C215="Wolne",
      IF(
        OR(
          ISBLANK(INDEX(Zestawienie!B:B, MATCH(A215, Zestawienie!A:A, 0))),
          NOT(ISNUMBER(INDEX(Zestawienie!B:B, MATCH(A215, Zestawienie!A:A, 0))))
        ),
        "",
        TODAY()-INDEX(Zestawienie!B:B, MATCH(A215, Zestawienie!A:A, 0))
      ),
      IF(OR(C215="Zajęte", C215="Spóźnione"),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215" s="62"/>
    </row>
    <row r="216">
      <c r="A216" s="57">
        <v>215.0</v>
      </c>
      <c r="B216" s="58" t="str">
        <f>IFERROR(__xludf.DUMMYFUNCTION("IF(
  OR(C216=""Zajęte"", C216=""Spóźnione""),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"),"Słupski Michał")</f>
        <v>Słupski Michał</v>
      </c>
      <c r="C216" s="59" t="str">
        <f t="array" ref="C21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16" s="60">
        <f t="array" ref="D216">IFERROR(
  IF(
    ISBLANK(INDEX(Zestawienie!B:B, MATCH(A216, Zestawienie!A:A, 0))),
    "",
    IF(C216="Wolne",
      IF(
        OR(
          ISBLANK(INDEX(Zestawienie!B:B, MATCH(A216, Zestawienie!A:A, 0))),
          NOT(ISNUMBER(INDEX(Zestawienie!B:B, MATCH(A216, Zestawienie!A:A, 0))))
        ),
        "",
        TODAY()-INDEX(Zestawienie!B:B, MATCH(A216, Zestawienie!A:A, 0))
      ),
      IF(OR(C216="Zajęte", C216="Spóźnione"),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18</v>
      </c>
      <c r="E216" s="62"/>
    </row>
    <row r="217">
      <c r="A217" s="57">
        <v>216.0</v>
      </c>
      <c r="B217" s="58" t="str">
        <f>IFERROR(__xludf.DUMMYFUNCTION("IF(
  OR(C217=""Zajęte"", C217=""Spóźnione""),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17" s="59" t="str">
        <f t="array" ref="C21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17" s="60">
        <f t="array" ref="D217">IFERROR(
  IF(
    ISBLANK(INDEX(Zestawienie!B:B, MATCH(A217, Zestawienie!A:A, 0))),
    "",
    IF(C217="Wolne",
      IF(
        OR(
          ISBLANK(INDEX(Zestawienie!B:B, MATCH(A217, Zestawienie!A:A, 0))),
          NOT(ISNUMBER(INDEX(Zestawienie!B:B, MATCH(A217, Zestawienie!A:A, 0))))
        ),
        "",
        TODAY()-INDEX(Zestawienie!B:B, MATCH(A217, Zestawienie!A:A, 0))
      ),
      IF(OR(C217="Zajęte", C217="Spóźnione"),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197</v>
      </c>
      <c r="E217" s="62"/>
    </row>
    <row r="218">
      <c r="A218" s="57">
        <v>217.0</v>
      </c>
      <c r="B218" s="58" t="str">
        <f>IFERROR(__xludf.DUMMYFUNCTION("IF(
  OR(C218=""Zajęte"", C218=""Spóźnione""),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18" s="59" t="str">
        <f t="array" ref="C21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18" s="60">
        <f t="array" ref="D218">IFERROR(
  IF(
    ISBLANK(INDEX(Zestawienie!B:B, MATCH(A218, Zestawienie!A:A, 0))),
    "",
    IF(C218="Wolne",
      IF(
        OR(
          ISBLANK(INDEX(Zestawienie!B:B, MATCH(A218, Zestawienie!A:A, 0))),
          NOT(ISNUMBER(INDEX(Zestawienie!B:B, MATCH(A218, Zestawienie!A:A, 0))))
        ),
        "",
        TODAY()-INDEX(Zestawienie!B:B, MATCH(A218, Zestawienie!A:A, 0))
      ),
      IF(OR(C218="Zajęte", C218="Spóźnione"),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173</v>
      </c>
      <c r="E218" s="62"/>
    </row>
    <row r="219">
      <c r="A219" s="57">
        <v>218.0</v>
      </c>
      <c r="B219" s="58" t="str">
        <f>IFERROR(__xludf.DUMMYFUNCTION("IF(
  OR(C219=""Zajęte"", C219=""Spóźnione""),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Aleksandra")</f>
        <v>Olender Aleksandra</v>
      </c>
      <c r="C219" s="59" t="str">
        <f t="array" ref="C21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19" s="60">
        <f t="array" ref="D219">IFERROR(
  IF(
    ISBLANK(INDEX(Zestawienie!B:B, MATCH(A219, Zestawienie!A:A, 0))),
    "",
    IF(C219="Wolne",
      IF(
        OR(
          ISBLANK(INDEX(Zestawienie!B:B, MATCH(A219, Zestawienie!A:A, 0))),
          NOT(ISNUMBER(INDEX(Zestawienie!B:B, MATCH(A219, Zestawienie!A:A, 0))))
        ),
        "",
        TODAY()-INDEX(Zestawienie!B:B, MATCH(A219, Zestawienie!A:A, 0))
      ),
      IF(OR(C219="Zajęte", C219="Spóźnione"),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IF(C219="Zajęte",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v>
      </c>
      <c r="E219" s="62"/>
    </row>
    <row r="220">
      <c r="A220" s="57">
        <v>219.0</v>
      </c>
      <c r="B220" s="58" t="str">
        <f>IFERROR(__xludf.DUMMYFUNCTION("IF(
  OR(C220=""Zajęte"", C220=""Spóźnione""),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20" s="59" t="str">
        <f t="array" ref="C22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20" s="60">
        <f t="array" ref="D220">IFERROR(
  IF(
    ISBLANK(INDEX(Zestawienie!B:B, MATCH(A220, Zestawienie!A:A, 0))),
    "",
    IF(C220="Wolne",
      IF(
        OR(
          ISBLANK(INDEX(Zestawienie!B:B, MATCH(A220, Zestawienie!A:A, 0))),
          NOT(ISNUMBER(INDEX(Zestawienie!B:B, MATCH(A220, Zestawienie!A:A, 0))))
        ),
        "",
        TODAY()-INDEX(Zestawienie!B:B, MATCH(A220, Zestawienie!A:A, 0))
      ),
      IF(OR(C220="Zajęte", C220="Spóźnione"),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301</v>
      </c>
      <c r="E220" s="62"/>
    </row>
    <row r="221">
      <c r="A221" s="57">
        <v>220.0</v>
      </c>
      <c r="B221" s="58" t="str">
        <f>IFERROR(__xludf.DUMMYFUNCTION("IF(
  OR(C221=""Zajęte"", C221=""Spóźnione""),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21" s="59" t="str">
        <f t="array" ref="C22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21" s="60">
        <f t="array" ref="D221">IFERROR(
  IF(
    ISBLANK(INDEX(Zestawienie!B:B, MATCH(A221, Zestawienie!A:A, 0))),
    "",
    IF(C221="Wolne",
      IF(
        OR(
          ISBLANK(INDEX(Zestawienie!B:B, MATCH(A221, Zestawienie!A:A, 0))),
          NOT(ISNUMBER(INDEX(Zestawienie!B:B, MATCH(A221, Zestawienie!A:A, 0))))
        ),
        "",
        TODAY()-INDEX(Zestawienie!B:B, MATCH(A221, Zestawienie!A:A, 0))
      ),
      IF(OR(C221="Zajęte", C221="Spóźnione"),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191</v>
      </c>
      <c r="E221" s="62"/>
    </row>
    <row r="222">
      <c r="A222" s="57">
        <v>221.0</v>
      </c>
      <c r="B222" s="58" t="str">
        <f>IFERROR(__xludf.DUMMYFUNCTION("IF(
  OR(C222=""Zajęte"", C222=""Spóźnione""),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22" s="59" t="str">
        <f t="array" ref="C22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22" s="60">
        <f t="array" ref="D222">IFERROR(
  IF(
    ISBLANK(INDEX(Zestawienie!B:B, MATCH(A222, Zestawienie!A:A, 0))),
    "",
    IF(C222="Wolne",
      IF(
        OR(
          ISBLANK(INDEX(Zestawienie!B:B, MATCH(A222, Zestawienie!A:A, 0))),
          NOT(ISNUMBER(INDEX(Zestawienie!B:B, MATCH(A222, Zestawienie!A:A, 0))))
        ),
        "",
        TODAY()-INDEX(Zestawienie!B:B, MATCH(A222, Zestawienie!A:A, 0))
      ),
      IF(OR(C222="Zajęte", C222="Spóźnione"),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582</v>
      </c>
      <c r="E222" s="62"/>
    </row>
    <row r="223">
      <c r="A223" s="57">
        <v>222.0</v>
      </c>
      <c r="B223" s="58" t="str">
        <f>IFERROR(__xludf.DUMMYFUNCTION("IF(
  OR(C223=""Zajęte"", C223=""Spóźnione""),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"),"Wojewódzki Kamil")</f>
        <v>Wojewódzki Kamil</v>
      </c>
      <c r="C223" s="59" t="str">
        <f t="array" ref="C22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23" s="60">
        <f t="array" ref="D223">IFERROR(
  IF(
    ISBLANK(INDEX(Zestawienie!B:B, MATCH(A223, Zestawienie!A:A, 0))),
    "",
    IF(C223="Wolne",
      IF(
        OR(
          ISBLANK(INDEX(Zestawienie!B:B, MATCH(A223, Zestawienie!A:A, 0))),
          NOT(ISNUMBER(INDEX(Zestawienie!B:B, MATCH(A223, Zestawienie!A:A, 0))))
        ),
        "",
        TODAY()-INDEX(Zestawienie!B:B, MATCH(A223, Zestawienie!A:A, 0))
      ),
      IF(OR(C223="Zajęte", C223="Spóźnione"),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86</v>
      </c>
      <c r="E223" s="62"/>
    </row>
    <row r="224">
      <c r="A224" s="57">
        <v>223.0</v>
      </c>
      <c r="B224" s="58" t="str">
        <f>IFERROR(__xludf.DUMMYFUNCTION("IF(
  OR(C224=""Zajęte"", C224=""Spóźnione""),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"),"Wojewódzki Kamil")</f>
        <v>Wojewódzki Kamil</v>
      </c>
      <c r="C224" s="59" t="str">
        <f t="array" ref="C22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24" s="60">
        <f t="array" ref="D224">IFERROR(
  IF(
    ISBLANK(INDEX(Zestawienie!B:B, MATCH(A224, Zestawienie!A:A, 0))),
    "",
    IF(C224="Wolne",
      IF(
        OR(
          ISBLANK(INDEX(Zestawienie!B:B, MATCH(A224, Zestawienie!A:A, 0))),
          NOT(ISNUMBER(INDEX(Zestawienie!B:B, MATCH(A224, Zestawienie!A:A, 0))))
        ),
        "",
        TODAY()-INDEX(Zestawienie!B:B, MATCH(A224, Zestawienie!A:A, 0))
      ),
      IF(OR(C224="Zajęte", C224="Spóźnione"),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86</v>
      </c>
      <c r="E224" s="62"/>
    </row>
    <row r="225">
      <c r="A225" s="57">
        <v>224.0</v>
      </c>
      <c r="B225" s="58" t="str">
        <f>IFERROR(__xludf.DUMMYFUNCTION("IF(
  OR(C225=""Zajęte"", C225=""Spóźnione""),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"),"Nużczyński Jerzy")</f>
        <v>Nużczyński Jerzy</v>
      </c>
      <c r="C225" s="59" t="str">
        <f t="array" ref="C22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25" s="60">
        <f t="array" ref="D225">IFERROR(
  IF(
    ISBLANK(INDEX(Zestawienie!B:B, MATCH(A225, Zestawienie!A:A, 0))),
    "",
    IF(C225="Wolne",
      IF(
        OR(
          ISBLANK(INDEX(Zestawienie!B:B, MATCH(A225, Zestawienie!A:A, 0))),
          NOT(ISNUMBER(INDEX(Zestawienie!B:B, MATCH(A225, Zestawienie!A:A, 0))))
        ),
        "",
        TODAY()-INDEX(Zestawienie!B:B, MATCH(A225, Zestawienie!A:A, 0))
      ),
      IF(OR(C225="Zajęte", C225="Spóźnione"),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v>
      </c>
      <c r="E225" s="62"/>
    </row>
    <row r="226">
      <c r="A226" s="57">
        <v>225.0</v>
      </c>
      <c r="B226" s="58" t="str">
        <f>IFERROR(__xludf.DUMMYFUNCTION("IF(
  OR(C226=""Zajęte"", C226=""Spóźnione""),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26" s="59" t="str">
        <f t="array" ref="C22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26" s="60">
        <f t="array" ref="D226">IFERROR(
  IF(
    ISBLANK(INDEX(Zestawienie!B:B, MATCH(A226, Zestawienie!A:A, 0))),
    "",
    IF(C226="Wolne",
      IF(
        OR(
          ISBLANK(INDEX(Zestawienie!B:B, MATCH(A226, Zestawienie!A:A, 0))),
          NOT(ISNUMBER(INDEX(Zestawienie!B:B, MATCH(A226, Zestawienie!A:A, 0))))
        ),
        "",
        TODAY()-INDEX(Zestawienie!B:B, MATCH(A226, Zestawienie!A:A, 0))
      ),
      IF(OR(C226="Zajęte", C226="Spóźnione"),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689</v>
      </c>
      <c r="E226" s="62"/>
    </row>
    <row r="227">
      <c r="A227" s="57">
        <v>226.0</v>
      </c>
      <c r="B227" s="58" t="str">
        <f>IFERROR(__xludf.DUMMYFUNCTION("IF(
  OR(C227=""Zajęte"", C227=""Spóźnione""),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"),"Gawryluk Ewa")</f>
        <v>Gawryluk Ewa</v>
      </c>
      <c r="C227" s="59" t="str">
        <f t="array" ref="C22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27" s="60">
        <f t="array" ref="D227">IFERROR(
  IF(
    ISBLANK(INDEX(Zestawienie!B:B, MATCH(A227, Zestawienie!A:A, 0))),
    "",
    IF(C227="Wolne",
      IF(
        OR(
          ISBLANK(INDEX(Zestawienie!B:B, MATCH(A227, Zestawienie!A:A, 0))),
          NOT(ISNUMBER(INDEX(Zestawienie!B:B, MATCH(A227, Zestawienie!A:A, 0))))
        ),
        "",
        TODAY()-INDEX(Zestawienie!B:B, MATCH(A227, Zestawienie!A:A, 0))
      ),
      IF(OR(C227="Zajęte", C227="Spóźnione"),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v>
      </c>
      <c r="E227" s="62"/>
    </row>
    <row r="228">
      <c r="A228" s="57">
        <v>227.0</v>
      </c>
      <c r="B228" s="58" t="str">
        <f>IFERROR(__xludf.DUMMYFUNCTION("IF(
  OR(C228=""Zajęte"", C228=""Spóźnione""),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"),"Wojewódzki Kamil")</f>
        <v>Wojewódzki Kamil</v>
      </c>
      <c r="C228" s="59" t="str">
        <f t="array" ref="C22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28" s="60">
        <f t="array" ref="D228">IFERROR(
  IF(
    ISBLANK(INDEX(Zestawienie!B:B, MATCH(A228, Zestawienie!A:A, 0))),
    "",
    IF(C228="Wolne",
      IF(
        OR(
          ISBLANK(INDEX(Zestawienie!B:B, MATCH(A228, Zestawienie!A:A, 0))),
          NOT(ISNUMBER(INDEX(Zestawienie!B:B, MATCH(A228, Zestawienie!A:A, 0))))
        ),
        "",
        TODAY()-INDEX(Zestawienie!B:B, MATCH(A228, Zestawienie!A:A, 0))
      ),
      IF(OR(C228="Zajęte", C228="Spóźnione"),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v>
      </c>
      <c r="E228" s="62"/>
    </row>
    <row r="229">
      <c r="A229" s="57">
        <v>228.0</v>
      </c>
      <c r="B229" s="58" t="str">
        <f>IFERROR(__xludf.DUMMYFUNCTION("IF(
  OR(C229=""Zajęte"", C229=""Spóźnione""),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29" s="59" t="str">
        <f t="array" ref="C22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29" s="60">
        <f t="array" ref="D229">IFERROR(
  IF(
    ISBLANK(INDEX(Zestawienie!B:B, MATCH(A229, Zestawienie!A:A, 0))),
    "",
    IF(C229="Wolne",
      IF(
        OR(
          ISBLANK(INDEX(Zestawienie!B:B, MATCH(A229, Zestawienie!A:A, 0))),
          NOT(ISNUMBER(INDEX(Zestawienie!B:B, MATCH(A229, Zestawienie!A:A, 0))))
        ),
        "",
        TODAY()-INDEX(Zestawienie!B:B, MATCH(A229, Zestawienie!A:A, 0))
      ),
      IF(OR(C229="Zajęte", C229="Spóźnione"),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IF(C229="Zajęte",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99</v>
      </c>
      <c r="E229" s="62"/>
    </row>
    <row r="230">
      <c r="A230" s="57">
        <v>229.0</v>
      </c>
      <c r="B230" s="58" t="str">
        <f>IFERROR(__xludf.DUMMYFUNCTION("IF(
  OR(C230=""Zajęte"", C230=""Spóźnione""),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0" s="59" t="str">
        <f t="array" ref="C23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0" s="60">
        <f t="array" ref="D230">IFERROR(
  IF(
    ISBLANK(INDEX(Zestawienie!B:B, MATCH(A230, Zestawienie!A:A, 0))),
    "",
    IF(C230="Wolne",
      IF(
        OR(
          ISBLANK(INDEX(Zestawienie!B:B, MATCH(A230, Zestawienie!A:A, 0))),
          NOT(ISNUMBER(INDEX(Zestawienie!B:B, MATCH(A230, Zestawienie!A:A, 0))))
        ),
        "",
        TODAY()-INDEX(Zestawienie!B:B, MATCH(A230, Zestawienie!A:A, 0))
      ),
      IF(OR(C230="Zajęte", C230="Spóźnione"),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198</v>
      </c>
      <c r="E230" s="62"/>
    </row>
    <row r="231">
      <c r="A231" s="57">
        <v>230.0</v>
      </c>
      <c r="B231" s="58" t="str">
        <f>IFERROR(__xludf.DUMMYFUNCTION("IF(
  OR(C231=""Zajęte"", C231=""Spóźnione""),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"),"Geszczyński Tomasz")</f>
        <v>Geszczyński Tomasz</v>
      </c>
      <c r="C231" s="59" t="str">
        <f t="array" ref="C23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231" s="60">
        <f t="array" ref="D231">IFERROR(
  IF(
    ISBLANK(INDEX(Zestawienie!B:B, MATCH(A231, Zestawienie!A:A, 0))),
    "",
    IF(C231="Wolne",
      IF(
        OR(
          ISBLANK(INDEX(Zestawienie!B:B, MATCH(A231, Zestawienie!A:A, 0))),
          NOT(ISNUMBER(INDEX(Zestawienie!B:B, MATCH(A231, Zestawienie!A:A, 0))))
        ),
        "",
        TODAY()-INDEX(Zestawienie!B:B, MATCH(A231, Zestawienie!A:A, 0))
      ),
      IF(OR(C231="Zajęte", C231="Spóźnione"),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229</v>
      </c>
      <c r="E231" s="62"/>
    </row>
    <row r="232">
      <c r="A232" s="57" t="s">
        <v>101</v>
      </c>
      <c r="B232" s="58" t="str">
        <f>IFERROR(__xludf.DUMMYFUNCTION("IF(
  OR(C232=""Zajęte"", C232=""Spóźnione""),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"),"Piechota Ireneusz")</f>
        <v>Piechota Ireneusz</v>
      </c>
      <c r="C232" s="59" t="str">
        <f t="array" ref="C23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32" s="60">
        <f t="array" ref="D232">IFERROR(
  IF(
    ISBLANK(INDEX(Zestawienie!B:B, MATCH(A232, Zestawienie!A:A, 0))),
    "",
    IF(C232="Wolne",
      IF(
        OR(
          ISBLANK(INDEX(Zestawienie!B:B, MATCH(A232, Zestawienie!A:A, 0))),
          NOT(ISNUMBER(INDEX(Zestawienie!B:B, MATCH(A232, Zestawienie!A:A, 0))))
        ),
        "",
        TODAY()-INDEX(Zestawienie!B:B, MATCH(A232, Zestawienie!A:A, 0))
      ),
      IF(OR(C232="Zajęte", C232="Spóźnione"),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110</v>
      </c>
      <c r="E232" s="62"/>
    </row>
    <row r="233">
      <c r="A233" s="57" t="s">
        <v>102</v>
      </c>
      <c r="B233" s="58" t="str">
        <f>IFERROR(__xludf.DUMMYFUNCTION("IF(
  OR(C233=""Zajęte"", C233=""Spóźnione""),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"),"Duda Małgorzata")</f>
        <v>Duda Małgorzata</v>
      </c>
      <c r="C233" s="59" t="str">
        <f t="array" ref="C23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33" s="60">
        <f t="array" ref="D233">IFERROR(
  IF(
    ISBLANK(INDEX(Zestawienie!B:B, MATCH(A233, Zestawienie!A:A, 0))),
    "",
    IF(C233="Wolne",
      IF(
        OR(
          ISBLANK(INDEX(Zestawienie!B:B, MATCH(A233, Zestawienie!A:A, 0))),
          NOT(ISNUMBER(INDEX(Zestawienie!B:B, MATCH(A233, Zestawienie!A:A, 0))))
        ),
        "",
        TODAY()-INDEX(Zestawienie!B:B, MATCH(A233, Zestawienie!A:A, 0))
      ),
      IF(OR(C233="Zajęte", C233="Spóźnione"),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15</v>
      </c>
      <c r="E233" s="62"/>
    </row>
    <row r="234">
      <c r="A234" s="57" t="s">
        <v>103</v>
      </c>
      <c r="B234" s="58" t="str">
        <f>IFERROR(__xludf.DUMMYFUNCTION("IF(
  OR(C234=""Zajęte"", C234=""Spóźnione""),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4" s="59" t="str">
        <f t="array" ref="C23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4" s="60">
        <f t="array" ref="D234">IFERROR(
  IF(
    ISBLANK(INDEX(Zestawienie!B:B, MATCH(A234, Zestawienie!A:A, 0))),
    "",
    IF(C234="Wolne",
      IF(
        OR(
          ISBLANK(INDEX(Zestawienie!B:B, MATCH(A234, Zestawienie!A:A, 0))),
          NOT(ISNUMBER(INDEX(Zestawienie!B:B, MATCH(A234, Zestawienie!A:A, 0))))
        ),
        "",
        TODAY()-INDEX(Zestawienie!B:B, MATCH(A234, Zestawienie!A:A, 0))
      ),
      IF(OR(C234="Zajęte", C234="Spóźnione"),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170</v>
      </c>
      <c r="E234" s="62"/>
    </row>
    <row r="235">
      <c r="A235" s="57" t="s">
        <v>104</v>
      </c>
      <c r="B235" s="58" t="str">
        <f>IFERROR(__xludf.DUMMYFUNCTION("IF(
  OR(C235=""Zajęte"", C235=""Spóźnione""),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5" s="59" t="str">
        <f t="array" ref="C23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5" s="60">
        <f t="array" ref="D235">IFERROR(
  IF(
    ISBLANK(INDEX(Zestawienie!B:B, MATCH(A235, Zestawienie!A:A, 0))),
    "",
    IF(C235="Wolne",
      IF(
        OR(
          ISBLANK(INDEX(Zestawienie!B:B, MATCH(A235, Zestawienie!A:A, 0))),
          NOT(ISNUMBER(INDEX(Zestawienie!B:B, MATCH(A235, Zestawienie!A:A, 0))))
        ),
        "",
        TODAY()-INDEX(Zestawienie!B:B, MATCH(A235, Zestawienie!A:A, 0))
      ),
      IF(OR(C235="Zajęte", C235="Spóźnione"),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379</v>
      </c>
      <c r="E235" s="62"/>
    </row>
    <row r="236">
      <c r="A236" s="57" t="s">
        <v>105</v>
      </c>
      <c r="B236" s="58" t="str">
        <f>IFERROR(__xludf.DUMMYFUNCTION("IF(
  OR(C236=""Zajęte"", C236=""Spóźnione""),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6" s="59" t="str">
        <f t="array" ref="C23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6" s="60">
        <f t="array" ref="D236">IFERROR(
  IF(
    ISBLANK(INDEX(Zestawienie!B:B, MATCH(A236, Zestawienie!A:A, 0))),
    "",
    IF(C236="Wolne",
      IF(
        OR(
          ISBLANK(INDEX(Zestawienie!B:B, MATCH(A236, Zestawienie!A:A, 0))),
          NOT(ISNUMBER(INDEX(Zestawienie!B:B, MATCH(A236, Zestawienie!A:A, 0))))
        ),
        "",
        TODAY()-INDEX(Zestawienie!B:B, MATCH(A236, Zestawienie!A:A, 0))
      ),
      IF(OR(C236="Zajęte", C236="Spóźnione"),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236" s="62"/>
    </row>
    <row r="237">
      <c r="A237" s="57" t="s">
        <v>106</v>
      </c>
      <c r="B237" s="58" t="str">
        <f>IFERROR(__xludf.DUMMYFUNCTION("IF(
  OR(C237=""Zajęte"", C237=""Spóźnione""),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7" s="59" t="str">
        <f t="array" ref="C23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7" s="60">
        <f t="array" ref="D237">IFERROR(
  IF(
    ISBLANK(INDEX(Zestawienie!B:B, MATCH(A237, Zestawienie!A:A, 0))),
    "",
    IF(C237="Wolne",
      IF(
        OR(
          ISBLANK(INDEX(Zestawienie!B:B, MATCH(A237, Zestawienie!A:A, 0))),
          NOT(ISNUMBER(INDEX(Zestawienie!B:B, MATCH(A237, Zestawienie!A:A, 0))))
        ),
        "",
        TODAY()-INDEX(Zestawienie!B:B, MATCH(A237, Zestawienie!A:A, 0))
      ),
      IF(OR(C237="Zajęte", C237="Spóźnione"),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1079</v>
      </c>
      <c r="E237" s="62"/>
    </row>
    <row r="238">
      <c r="A238" s="57" t="s">
        <v>107</v>
      </c>
      <c r="B238" s="58" t="str">
        <f>IFERROR(__xludf.DUMMYFUNCTION("IF(
  OR(C238=""Zajęte"", C238=""Spóźnione""),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8" s="59" t="str">
        <f t="array" ref="C23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8" s="60">
        <f t="array" ref="D238">IFERROR(
  IF(
    ISBLANK(INDEX(Zestawienie!B:B, MATCH(A238, Zestawienie!A:A, 0))),
    "",
    IF(C238="Wolne",
      IF(
        OR(
          ISBLANK(INDEX(Zestawienie!B:B, MATCH(A238, Zestawienie!A:A, 0))),
          NOT(ISNUMBER(INDEX(Zestawienie!B:B, MATCH(A238, Zestawienie!A:A, 0))))
        ),
        "",
        TODAY()-INDEX(Zestawienie!B:B, MATCH(A238, Zestawienie!A:A, 0))
      ),
      IF(OR(C238="Zajęte", C238="Spóźnione"),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238" s="62"/>
    </row>
    <row r="239">
      <c r="A239" s="57" t="s">
        <v>108</v>
      </c>
      <c r="B239" s="58" t="str">
        <f>IFERROR(__xludf.DUMMYFUNCTION("IF(
  OR(C239=""Zajęte"", C239=""Spóźnione""),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39" s="59" t="str">
        <f t="array" ref="C23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39" s="60">
        <f t="array" ref="D239">IFERROR(
  IF(
    ISBLANK(INDEX(Zestawienie!B:B, MATCH(A239, Zestawienie!A:A, 0))),
    "",
    IF(C239="Wolne",
      IF(
        OR(
          ISBLANK(INDEX(Zestawienie!B:B, MATCH(A239, Zestawienie!A:A, 0))),
          NOT(ISNUMBER(INDEX(Zestawienie!B:B, MATCH(A239, Zestawienie!A:A, 0))))
        ),
        "",
        TODAY()-INDEX(Zestawienie!B:B, MATCH(A239, Zestawienie!A:A, 0))
      ),
      IF(OR(C239="Zajęte", C239="Spóźnione"),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IF(C239="Zajęte",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239" s="62"/>
    </row>
    <row r="240">
      <c r="A240" s="57" t="s">
        <v>109</v>
      </c>
      <c r="B240" s="58" t="str">
        <f>IFERROR(__xludf.DUMMYFUNCTION("IF(
  OR(C240=""Zajęte"", C240=""Spóźnione""),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0" s="59" t="str">
        <f t="array" ref="C24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0" s="60">
        <f t="array" ref="D240">IFERROR(
  IF(
    ISBLANK(INDEX(Zestawienie!B:B, MATCH(A240, Zestawienie!A:A, 0))),
    "",
    IF(C240="Wolne",
      IF(
        OR(
          ISBLANK(INDEX(Zestawienie!B:B, MATCH(A240, Zestawienie!A:A, 0))),
          NOT(ISNUMBER(INDEX(Zestawienie!B:B, MATCH(A240, Zestawienie!A:A, 0))))
        ),
        "",
        TODAY()-INDEX(Zestawienie!B:B, MATCH(A240, Zestawienie!A:A, 0))
      ),
      IF(OR(C240="Zajęte", C240="Spóźnione"),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1081</v>
      </c>
      <c r="E240" s="62"/>
    </row>
    <row r="241">
      <c r="A241" s="57" t="s">
        <v>110</v>
      </c>
      <c r="B241" s="58" t="str">
        <f>IFERROR(__xludf.DUMMYFUNCTION("IF(
  OR(C241=""Zajęte"", C241=""Spóźnione""),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1" s="59" t="str">
        <f t="array" ref="C24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1" s="60">
        <f t="array" ref="D241">IFERROR(
  IF(
    ISBLANK(INDEX(Zestawienie!B:B, MATCH(A241, Zestawienie!A:A, 0))),
    "",
    IF(C241="Wolne",
      IF(
        OR(
          ISBLANK(INDEX(Zestawienie!B:B, MATCH(A241, Zestawienie!A:A, 0))),
          NOT(ISNUMBER(INDEX(Zestawienie!B:B, MATCH(A241, Zestawienie!A:A, 0))))
        ),
        "",
        TODAY()-INDEX(Zestawienie!B:B, MATCH(A241, Zestawienie!A:A, 0))
      ),
      IF(OR(C241="Zajęte", C241="Spóźnione"),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241" s="62"/>
    </row>
    <row r="242">
      <c r="A242" s="57" t="s">
        <v>111</v>
      </c>
      <c r="B242" s="58" t="str">
        <f>IFERROR(__xludf.DUMMYFUNCTION("IF(
  OR(C242=""Zajęte"", C242=""Spóźnione""),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2" s="59" t="str">
        <f t="array" ref="C24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2" s="60">
        <f t="array" ref="D242">IFERROR(
  IF(
    ISBLANK(INDEX(Zestawienie!B:B, MATCH(A242, Zestawienie!A:A, 0))),
    "",
    IF(C242="Wolne",
      IF(
        OR(
          ISBLANK(INDEX(Zestawienie!B:B, MATCH(A242, Zestawienie!A:A, 0))),
          NOT(ISNUMBER(INDEX(Zestawienie!B:B, MATCH(A242, Zestawienie!A:A, 0))))
        ),
        "",
        TODAY()-INDEX(Zestawienie!B:B, MATCH(A242, Zestawienie!A:A, 0))
      ),
      IF(OR(C242="Zajęte", C242="Spóźnione"),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242" s="62"/>
    </row>
    <row r="243">
      <c r="A243" s="57" t="s">
        <v>112</v>
      </c>
      <c r="B243" s="58" t="str">
        <f>IFERROR(__xludf.DUMMYFUNCTION("IF(
  OR(C243=""Zajęte"", C243=""Spóźnione""),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3" s="59" t="str">
        <f t="array" ref="C24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3" s="60">
        <f t="array" ref="D243">IFERROR(
  IF(
    ISBLANK(INDEX(Zestawienie!B:B, MATCH(A243, Zestawienie!A:A, 0))),
    "",
    IF(C243="Wolne",
      IF(
        OR(
          ISBLANK(INDEX(Zestawienie!B:B, MATCH(A243, Zestawienie!A:A, 0))),
          NOT(ISNUMBER(INDEX(Zestawienie!B:B, MATCH(A243, Zestawienie!A:A, 0))))
        ),
        "",
        TODAY()-INDEX(Zestawienie!B:B, MATCH(A243, Zestawienie!A:A, 0))
      ),
      IF(OR(C243="Zajęte", C243="Spóźnione"),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350</v>
      </c>
      <c r="E243" s="62"/>
    </row>
    <row r="244">
      <c r="A244" s="57" t="s">
        <v>113</v>
      </c>
      <c r="B244" s="58" t="str">
        <f>IFERROR(__xludf.DUMMYFUNCTION("IF(
  OR(C244=""Zajęte"", C244=""Spóźnione""),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4" s="59" t="str">
        <f t="array" ref="C24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4" s="60">
        <f t="array" ref="D244">IFERROR(
  IF(
    ISBLANK(INDEX(Zestawienie!B:B, MATCH(A244, Zestawienie!A:A, 0))),
    "",
    IF(C244="Wolne",
      IF(
        OR(
          ISBLANK(INDEX(Zestawienie!B:B, MATCH(A244, Zestawienie!A:A, 0))),
          NOT(ISNUMBER(INDEX(Zestawienie!B:B, MATCH(A244, Zestawienie!A:A, 0))))
        ),
        "",
        TODAY()-INDEX(Zestawienie!B:B, MATCH(A244, Zestawienie!A:A, 0))
      ),
      IF(OR(C244="Zajęte", C244="Spóźnione"),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968</v>
      </c>
      <c r="E244" s="62"/>
    </row>
    <row r="245">
      <c r="A245" s="57" t="s">
        <v>114</v>
      </c>
      <c r="B245" s="58" t="str">
        <f>IFERROR(__xludf.DUMMYFUNCTION("IF(
  OR(C245=""Zajęte"", C245=""Spóźnione""),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5" s="59" t="str">
        <f t="array" ref="C24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5" s="60">
        <f t="array" ref="D245">IFERROR(
  IF(
    ISBLANK(INDEX(Zestawienie!B:B, MATCH(A245, Zestawienie!A:A, 0))),
    "",
    IF(C245="Wolne",
      IF(
        OR(
          ISBLANK(INDEX(Zestawienie!B:B, MATCH(A245, Zestawienie!A:A, 0))),
          NOT(ISNUMBER(INDEX(Zestawienie!B:B, MATCH(A245, Zestawienie!A:A, 0))))
        ),
        "",
        TODAY()-INDEX(Zestawienie!B:B, MATCH(A245, Zestawienie!A:A, 0))
      ),
      IF(OR(C245="Zajęte", C245="Spóźnione"),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349</v>
      </c>
      <c r="E245" s="62"/>
    </row>
    <row r="246">
      <c r="A246" s="57" t="s">
        <v>115</v>
      </c>
      <c r="B246" s="58" t="str">
        <f>IFERROR(__xludf.DUMMYFUNCTION("IF(
  OR(C246=""Zajęte"", C246=""Spóźnione""),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6" s="59" t="str">
        <f t="array" ref="C24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6" s="60" t="str">
        <f t="array" ref="D246">IFERROR(
  IF(
    ISBLANK(INDEX(Zestawienie!B:B, MATCH(A246, Zestawienie!A:A, 0))),
    "",
    IF(C246="Wolne",
      IF(
        OR(
          ISBLANK(INDEX(Zestawienie!B:B, MATCH(A246, Zestawienie!A:A, 0))),
          NOT(ISNUMBER(INDEX(Zestawienie!B:B, MATCH(A246, Zestawienie!A:A, 0))))
        ),
        "",
        TODAY()-INDEX(Zestawienie!B:B, MATCH(A246, Zestawienie!A:A, 0))
      ),
      IF(OR(C246="Zajęte", C246="Spóźnione"),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46" s="62"/>
    </row>
    <row r="247">
      <c r="A247" s="57" t="s">
        <v>116</v>
      </c>
      <c r="B247" s="58" t="str">
        <f>IFERROR(__xludf.DUMMYFUNCTION("IF(
  OR(C247=""Zajęte"", C247=""Spóźnione""),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7" s="59" t="str">
        <f t="array" ref="C24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7" s="60" t="str">
        <f t="array" ref="D247">IFERROR(
  IF(
    ISBLANK(INDEX(Zestawienie!B:B, MATCH(A247, Zestawienie!A:A, 0))),
    "",
    IF(C247="Wolne",
      IF(
        OR(
          ISBLANK(INDEX(Zestawienie!B:B, MATCH(A247, Zestawienie!A:A, 0))),
          NOT(ISNUMBER(INDEX(Zestawienie!B:B, MATCH(A247, Zestawienie!A:A, 0))))
        ),
        "",
        TODAY()-INDEX(Zestawienie!B:B, MATCH(A247, Zestawienie!A:A, 0))
      ),
      IF(OR(C247="Zajęte", C247="Spóźnione"),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47" s="62"/>
    </row>
    <row r="248">
      <c r="A248" s="57" t="s">
        <v>117</v>
      </c>
      <c r="B248" s="58" t="str">
        <f>IFERROR(__xludf.DUMMYFUNCTION("IF(
  OR(C248=""Zajęte"", C248=""Spóźnione""),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8" s="59" t="str">
        <f t="array" ref="C24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8" s="60" t="str">
        <f t="array" ref="D248">IFERROR(
  IF(
    ISBLANK(INDEX(Zestawienie!B:B, MATCH(A248, Zestawienie!A:A, 0))),
    "",
    IF(C248="Wolne",
      IF(
        OR(
          ISBLANK(INDEX(Zestawienie!B:B, MATCH(A248, Zestawienie!A:A, 0))),
          NOT(ISNUMBER(INDEX(Zestawienie!B:B, MATCH(A248, Zestawienie!A:A, 0))))
        ),
        "",
        TODAY()-INDEX(Zestawienie!B:B, MATCH(A248, Zestawienie!A:A, 0))
      ),
      IF(OR(C248="Zajęte", C248="Spóźnione"),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48" s="62"/>
    </row>
    <row r="249">
      <c r="A249" s="57" t="s">
        <v>118</v>
      </c>
      <c r="B249" s="58" t="str">
        <f>IFERROR(__xludf.DUMMYFUNCTION("IF(
  OR(C249=""Zajęte"", C249=""Spóźnione""),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49" s="59" t="str">
        <f t="array" ref="C24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49" s="60" t="str">
        <f t="array" ref="D249">IFERROR(
  IF(
    ISBLANK(INDEX(Zestawienie!B:B, MATCH(A249, Zestawienie!A:A, 0))),
    "",
    IF(C249="Wolne",
      IF(
        OR(
          ISBLANK(INDEX(Zestawienie!B:B, MATCH(A249, Zestawienie!A:A, 0))),
          NOT(ISNUMBER(INDEX(Zestawienie!B:B, MATCH(A249, Zestawienie!A:A, 0))))
        ),
        "",
        TODAY()-INDEX(Zestawienie!B:B, MATCH(A249, Zestawienie!A:A, 0))
      ),
      IF(OR(C249="Zajęte", C249="Spóźnione"),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IF(C249="Zajęte",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49" s="62"/>
    </row>
    <row r="250">
      <c r="A250" s="57" t="s">
        <v>119</v>
      </c>
      <c r="B250" s="58" t="str">
        <f>IFERROR(__xludf.DUMMYFUNCTION("IF(
  OR(C250=""Zajęte"", C250=""Spóźnione""),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50" s="59" t="str">
        <f t="array" ref="C25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0" s="60" t="str">
        <f t="array" ref="D250">IFERROR(
  IF(
    ISBLANK(INDEX(Zestawienie!B:B, MATCH(A250, Zestawienie!A:A, 0))),
    "",
    IF(C250="Wolne",
      IF(
        OR(
          ISBLANK(INDEX(Zestawienie!B:B, MATCH(A250, Zestawienie!A:A, 0))),
          NOT(ISNUMBER(INDEX(Zestawienie!B:B, MATCH(A250, Zestawienie!A:A, 0))))
        ),
        "",
        TODAY()-INDEX(Zestawienie!B:B, MATCH(A250, Zestawienie!A:A, 0))
      ),
      IF(OR(C250="Zajęte", C250="Spóźnione"),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50" s="62"/>
    </row>
    <row r="251">
      <c r="A251" s="57" t="s">
        <v>120</v>
      </c>
      <c r="B251" s="58" t="str">
        <f>IFERROR(__xludf.DUMMYFUNCTION("IF(
  OR(C251=""Zajęte"", C251=""Spóźnione""),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51" s="59" t="str">
        <f t="array" ref="C25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1" s="60" t="str">
        <f t="array" ref="D251">IFERROR(
  IF(
    ISBLANK(INDEX(Zestawienie!B:B, MATCH(A251, Zestawienie!A:A, 0))),
    "",
    IF(C251="Wolne",
      IF(
        OR(
          ISBLANK(INDEX(Zestawienie!B:B, MATCH(A251, Zestawienie!A:A, 0))),
          NOT(ISNUMBER(INDEX(Zestawienie!B:B, MATCH(A251, Zestawienie!A:A, 0))))
        ),
        "",
        TODAY()-INDEX(Zestawienie!B:B, MATCH(A251, Zestawienie!A:A, 0))
      ),
      IF(OR(C251="Zajęte", C251="Spóźnione"),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51" s="62"/>
    </row>
    <row r="252">
      <c r="A252" s="57" t="s">
        <v>121</v>
      </c>
      <c r="B252" s="58" t="str">
        <f>IFERROR(__xludf.DUMMYFUNCTION("IF(
  OR(C252=""Zajęte"", C252=""Spóźnione""),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52" s="59" t="str">
        <f t="array" ref="C25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2" s="60">
        <f t="array" ref="D252">IFERROR(
  IF(
    ISBLANK(INDEX(Zestawienie!B:B, MATCH(A252, Zestawienie!A:A, 0))),
    "",
    IF(C252="Wolne",
      IF(
        OR(
          ISBLANK(INDEX(Zestawienie!B:B, MATCH(A252, Zestawienie!A:A, 0))),
          NOT(ISNUMBER(INDEX(Zestawienie!B:B, MATCH(A252, Zestawienie!A:A, 0))))
        ),
        "",
        TODAY()-INDEX(Zestawienie!B:B, MATCH(A252, Zestawienie!A:A, 0))
      ),
      IF(OR(C252="Zajęte", C252="Spóźnione"),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379</v>
      </c>
      <c r="E252" s="62"/>
    </row>
    <row r="253">
      <c r="A253" s="57" t="s">
        <v>122</v>
      </c>
      <c r="B253" s="58" t="str">
        <f>IFERROR(__xludf.DUMMYFUNCTION("IF(
  OR(C253=""Zajęte"", C253=""Spóźnione""),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"),"Stolarz Monika")</f>
        <v>Stolarz Monika</v>
      </c>
      <c r="C253" s="59" t="str">
        <f t="array" ref="C25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253" s="60">
        <f t="array" ref="D253">IFERROR(
  IF(
    ISBLANK(INDEX(Zestawienie!B:B, MATCH(A253, Zestawienie!A:A, 0))),
    "",
    IF(C253="Wolne",
      IF(
        OR(
          ISBLANK(INDEX(Zestawienie!B:B, MATCH(A253, Zestawienie!A:A, 0))),
          NOT(ISNUMBER(INDEX(Zestawienie!B:B, MATCH(A253, Zestawienie!A:A, 0))))
        ),
        "",
        TODAY()-INDEX(Zestawienie!B:B, MATCH(A253, Zestawienie!A:A, 0))
      ),
      IF(OR(C253="Zajęte", C253="Spóźnione"),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409</v>
      </c>
      <c r="E253" s="62"/>
    </row>
    <row r="254">
      <c r="A254" s="57" t="s">
        <v>123</v>
      </c>
      <c r="B254" s="58" t="str">
        <f>IFERROR(__xludf.DUMMYFUNCTION("IF(
  OR(C254=""Zajęte"", C254=""Spóźnione""),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54" s="59" t="str">
        <f t="array" ref="C25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4" s="60">
        <f t="array" ref="D254">IFERROR(
  IF(
    ISBLANK(INDEX(Zestawienie!B:B, MATCH(A254, Zestawienie!A:A, 0))),
    "",
    IF(C254="Wolne",
      IF(
        OR(
          ISBLANK(INDEX(Zestawienie!B:B, MATCH(A254, Zestawienie!A:A, 0))),
          NOT(ISNUMBER(INDEX(Zestawienie!B:B, MATCH(A254, Zestawienie!A:A, 0))))
        ),
        "",
        TODAY()-INDEX(Zestawienie!B:B, MATCH(A254, Zestawienie!A:A, 0))
      ),
      IF(OR(C254="Zajęte", C254="Spóźnione"),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482</v>
      </c>
      <c r="E254" s="62"/>
    </row>
    <row r="255">
      <c r="A255" s="57" t="s">
        <v>124</v>
      </c>
      <c r="B255" s="58" t="str">
        <f>IFERROR(__xludf.DUMMYFUNCTION("IF(
  OR(C255=""Zajęte"", C255=""Spóźnione""),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"),"Wojewódzki Kamil")</f>
        <v>Wojewódzki Kamil</v>
      </c>
      <c r="C255" s="59" t="str">
        <f t="array" ref="C25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Zajęte</v>
      </c>
      <c r="D255" s="60">
        <f t="array" ref="D255">IFERROR(
  IF(
    ISBLANK(INDEX(Zestawienie!B:B, MATCH(A255, Zestawienie!A:A, 0))),
    "",
    IF(C255="Wolne",
      IF(
        OR(
          ISBLANK(INDEX(Zestawienie!B:B, MATCH(A255, Zestawienie!A:A, 0))),
          NOT(ISNUMBER(INDEX(Zestawienie!B:B, MATCH(A255, Zestawienie!A:A, 0))))
        ),
        "",
        TODAY()-INDEX(Zestawienie!B:B, MATCH(A255, Zestawienie!A:A, 0))
      ),
      IF(OR(C255="Zajęte", C255="Spóźnione"),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30</v>
      </c>
      <c r="E255" s="62"/>
    </row>
    <row r="256">
      <c r="A256" s="57" t="s">
        <v>125</v>
      </c>
      <c r="B256" s="58" t="str">
        <f>IFERROR(__xludf.DUMMYFUNCTION("IF(
  OR(C256=""Zajęte"", C256=""Spóźnione""),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"),"Romanyk Joanna")</f>
        <v>Romanyk Joanna</v>
      </c>
      <c r="C256" s="59" t="str">
        <f t="array" ref="C25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256" s="60">
        <f t="array" ref="D256">IFERROR(
  IF(
    ISBLANK(INDEX(Zestawienie!B:B, MATCH(A256, Zestawienie!A:A, 0))),
    "",
    IF(C256="Wolne",
      IF(
        OR(
          ISBLANK(INDEX(Zestawienie!B:B, MATCH(A256, Zestawienie!A:A, 0))),
          NOT(ISNUMBER(INDEX(Zestawienie!B:B, MATCH(A256, Zestawienie!A:A, 0))))
        ),
        "",
        TODAY()-INDEX(Zestawienie!B:B, MATCH(A256, Zestawienie!A:A, 0))
      ),
      IF(OR(C256="Zajęte", C256="Spóźnione"),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249</v>
      </c>
      <c r="E256" s="62"/>
    </row>
    <row r="257">
      <c r="A257" s="57" t="s">
        <v>126</v>
      </c>
      <c r="B257" s="58" t="str">
        <f>IFERROR(__xludf.DUMMYFUNCTION("IF(
  OR(C257=""Zajęte"", C257=""Spóźnione""),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"),"Olender Robert")</f>
        <v>Olender Robert</v>
      </c>
      <c r="C257" s="59" t="str">
        <f t="array" ref="C25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Spóźnione</v>
      </c>
      <c r="D257" s="60">
        <f t="array" ref="D257">IFERROR(
  IF(
    ISBLANK(INDEX(Zestawienie!B:B, MATCH(A257, Zestawienie!A:A, 0))),
    "",
    IF(C257="Wolne",
      IF(
        OR(
          ISBLANK(INDEX(Zestawienie!B:B, MATCH(A257, Zestawienie!A:A, 0))),
          NOT(ISNUMBER(INDEX(Zestawienie!B:B, MATCH(A257, Zestawienie!A:A, 0))))
        ),
        "",
        TODAY()-INDEX(Zestawienie!B:B, MATCH(A257, Zestawienie!A:A, 0))
      ),
      IF(OR(C257="Zajęte", C257="Spóźnione"),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838</v>
      </c>
      <c r="E257" s="62"/>
    </row>
    <row r="258">
      <c r="A258" s="57" t="s">
        <v>127</v>
      </c>
      <c r="B258" s="58" t="str">
        <f>IFERROR(__xludf.DUMMYFUNCTION("IF(
  OR(C258=""Zajęte"", C258=""Spóźnione""),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58" s="59" t="str">
        <f t="array" ref="C25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8" s="60">
        <f t="array" ref="D258">IFERROR(
  IF(
    ISBLANK(INDEX(Zestawienie!B:B, MATCH(A258, Zestawienie!A:A, 0))),
    "",
    IF(C258="Wolne",
      IF(
        OR(
          ISBLANK(INDEX(Zestawienie!B:B, MATCH(A258, Zestawienie!A:A, 0))),
          NOT(ISNUMBER(INDEX(Zestawienie!B:B, MATCH(A258, Zestawienie!A:A, 0))))
        ),
        "",
        TODAY()-INDEX(Zestawienie!B:B, MATCH(A258, Zestawienie!A:A, 0))
      ),
      IF(OR(C258="Zajęte", C258="Spóźnione"),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278</v>
      </c>
      <c r="E258" s="62"/>
    </row>
    <row r="259">
      <c r="A259" s="57" t="s">
        <v>128</v>
      </c>
      <c r="B259" s="58" t="str">
        <f>IFERROR(__xludf.DUMMYFUNCTION("IF(
  OR(C259=""Zajęte"", C259=""Spóźnione""),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59" s="59" t="str">
        <f t="array" ref="C25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59" s="60">
        <f t="array" ref="D259">IFERROR(
  IF(
    ISBLANK(INDEX(Zestawienie!B:B, MATCH(A259, Zestawienie!A:A, 0))),
    "",
    IF(C259="Wolne",
      IF(
        OR(
          ISBLANK(INDEX(Zestawienie!B:B, MATCH(A259, Zestawienie!A:A, 0))),
          NOT(ISNUMBER(INDEX(Zestawienie!B:B, MATCH(A259, Zestawienie!A:A, 0))))
        ),
        "",
        TODAY()-INDEX(Zestawienie!B:B, MATCH(A259, Zestawienie!A:A, 0))
      ),
      IF(OR(C259="Zajęte", C259="Spóźnione"),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IF(C259="Zajęte",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398</v>
      </c>
      <c r="E259" s="62"/>
    </row>
    <row r="260">
      <c r="A260" s="57" t="s">
        <v>129</v>
      </c>
      <c r="B260" s="58" t="str">
        <f>IFERROR(__xludf.DUMMYFUNCTION("IF(
  OR(C260=""Zajęte"", C260=""Spóźnione""),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0" s="59" t="str">
        <f t="array" ref="C26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0" s="60">
        <f t="array" ref="D260">IFERROR(
  IF(
    ISBLANK(INDEX(Zestawienie!B:B, MATCH(A260, Zestawienie!A:A, 0))),
    "",
    IF(C260="Wolne",
      IF(
        OR(
          ISBLANK(INDEX(Zestawienie!B:B, MATCH(A260, Zestawienie!A:A, 0))),
          NOT(ISNUMBER(INDEX(Zestawienie!B:B, MATCH(A260, Zestawienie!A:A, 0))))
        ),
        "",
        TODAY()-INDEX(Zestawienie!B:B, MATCH(A260, Zestawienie!A:A, 0))
      ),
      IF(OR(C260="Zajęte", C260="Spóźnione"),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93</v>
      </c>
      <c r="E260" s="62"/>
    </row>
    <row r="261">
      <c r="A261" s="57" t="s">
        <v>130</v>
      </c>
      <c r="B261" s="58" t="str">
        <f>IFERROR(__xludf.DUMMYFUNCTION("IF(
  OR(C261=""Zajęte"", C261=""Spóźnione""),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1" s="59" t="str">
        <f t="array" ref="C26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1" s="60">
        <f t="array" ref="D261">IFERROR(
  IF(
    ISBLANK(INDEX(Zestawienie!B:B, MATCH(A261, Zestawienie!A:A, 0))),
    "",
    IF(C261="Wolne",
      IF(
        OR(
          ISBLANK(INDEX(Zestawienie!B:B, MATCH(A261, Zestawienie!A:A, 0))),
          NOT(ISNUMBER(INDEX(Zestawienie!B:B, MATCH(A261, Zestawienie!A:A, 0))))
        ),
        "",
        TODAY()-INDEX(Zestawienie!B:B, MATCH(A261, Zestawienie!A:A, 0))
      ),
      IF(OR(C261="Zajęte", C261="Spóźnione"),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1080</v>
      </c>
      <c r="E261" s="62"/>
    </row>
    <row r="262">
      <c r="A262" s="57" t="s">
        <v>131</v>
      </c>
      <c r="B262" s="58" t="str">
        <f>IFERROR(__xludf.DUMMYFUNCTION("IF(
  OR(C262=""Zajęte"", C262=""Spóźnione""),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2" s="59" t="str">
        <f t="array" ref="C26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2" s="60">
        <f t="array" ref="D262">IFERROR(
  IF(
    ISBLANK(INDEX(Zestawienie!B:B, MATCH(A262, Zestawienie!A:A, 0))),
    "",
    IF(C262="Wolne",
      IF(
        OR(
          ISBLANK(INDEX(Zestawienie!B:B, MATCH(A262, Zestawienie!A:A, 0))),
          NOT(ISNUMBER(INDEX(Zestawienie!B:B, MATCH(A262, Zestawienie!A:A, 0))))
        ),
        "",
        TODAY()-INDEX(Zestawienie!B:B, MATCH(A262, Zestawienie!A:A, 0))
      ),
      IF(OR(C262="Zajęte", C262="Spóźnione"),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379</v>
      </c>
      <c r="E262" s="62"/>
    </row>
    <row r="263">
      <c r="A263" s="57" t="s">
        <v>132</v>
      </c>
      <c r="B263" s="58" t="str">
        <f>IFERROR(__xludf.DUMMYFUNCTION("IF(
  OR(C263=""Zajęte"", C263=""Spóźnione""),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3" s="59" t="str">
        <f t="array" ref="C26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3" s="60">
        <f t="array" ref="D263">IFERROR(
  IF(
    ISBLANK(INDEX(Zestawienie!B:B, MATCH(A263, Zestawienie!A:A, 0))),
    "",
    IF(C263="Wolne",
      IF(
        OR(
          ISBLANK(INDEX(Zestawienie!B:B, MATCH(A263, Zestawienie!A:A, 0))),
          NOT(ISNUMBER(INDEX(Zestawienie!B:B, MATCH(A263, Zestawienie!A:A, 0))))
        ),
        "",
        TODAY()-INDEX(Zestawienie!B:B, MATCH(A263, Zestawienie!A:A, 0))
      ),
      IF(OR(C263="Zajęte", C263="Spóźnione"),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53</v>
      </c>
      <c r="E263" s="62"/>
    </row>
    <row r="264">
      <c r="A264" s="57" t="s">
        <v>133</v>
      </c>
      <c r="B264" s="58" t="str">
        <f>IFERROR(__xludf.DUMMYFUNCTION("IF(
  OR(C264=""Zajęte"", C264=""Spóźnione""),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4" s="59" t="str">
        <f t="array" ref="C26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4" s="60">
        <f t="array" ref="D264">IFERROR(
  IF(
    ISBLANK(INDEX(Zestawienie!B:B, MATCH(A264, Zestawienie!A:A, 0))),
    "",
    IF(C264="Wolne",
      IF(
        OR(
          ISBLANK(INDEX(Zestawienie!B:B, MATCH(A264, Zestawienie!A:A, 0))),
          NOT(ISNUMBER(INDEX(Zestawienie!B:B, MATCH(A264, Zestawienie!A:A, 0))))
        ),
        "",
        TODAY()-INDEX(Zestawienie!B:B, MATCH(A264, Zestawienie!A:A, 0))
      ),
      IF(OR(C264="Zajęte", C264="Spóźnione"),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379</v>
      </c>
      <c r="E264" s="62"/>
    </row>
    <row r="265">
      <c r="A265" s="57">
        <v>264.0</v>
      </c>
      <c r="B265" s="58" t="str">
        <f>IFERROR(__xludf.DUMMYFUNCTION("IF(
  OR(C265=""Zajęte"", C265=""Spóźnione""),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5" s="59" t="str">
        <f t="array" ref="C26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5" s="60" t="str">
        <f t="array" ref="D265">IFERROR(
  IF(
    ISBLANK(INDEX(Zestawienie!B:B, MATCH(A265, Zestawienie!A:A, 0))),
    "",
    IF(C265="Wolne",
      IF(
        OR(
          ISBLANK(INDEX(Zestawienie!B:B, MATCH(A265, Zestawienie!A:A, 0))),
          NOT(ISNUMBER(INDEX(Zestawienie!B:B, MATCH(A265, Zestawienie!A:A, 0))))
        ),
        "",
        TODAY()-INDEX(Zestawienie!B:B, MATCH(A265, Zestawienie!A:A, 0))
      ),
      IF(OR(C265="Zajęte", C265="Spóźnione"),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65" s="62"/>
    </row>
    <row r="266">
      <c r="A266" s="57">
        <v>265.0</v>
      </c>
      <c r="B266" s="58" t="str">
        <f>IFERROR(__xludf.DUMMYFUNCTION("IF(
  OR(C266=""Zajęte"", C266=""Spóźnione""),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6" s="59" t="str">
        <f t="array" ref="C26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6" s="60" t="str">
        <f t="array" ref="D266">IFERROR(
  IF(
    ISBLANK(INDEX(Zestawienie!B:B, MATCH(A266, Zestawienie!A:A, 0))),
    "",
    IF(C266="Wolne",
      IF(
        OR(
          ISBLANK(INDEX(Zestawienie!B:B, MATCH(A266, Zestawienie!A:A, 0))),
          NOT(ISNUMBER(INDEX(Zestawienie!B:B, MATCH(A266, Zestawienie!A:A, 0))))
        ),
        "",
        TODAY()-INDEX(Zestawienie!B:B, MATCH(A266, Zestawienie!A:A, 0))
      ),
      IF(OR(C266="Zajęte", C266="Spóźnione"),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66" s="62"/>
    </row>
    <row r="267">
      <c r="A267" s="57">
        <v>266.0</v>
      </c>
      <c r="B267" s="58" t="str">
        <f>IFERROR(__xludf.DUMMYFUNCTION("IF(
  OR(C267=""Zajęte"", C267=""Spóźnione""),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7" s="59" t="str">
        <f t="array" ref="C26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7" s="60" t="str">
        <f t="array" ref="D267">IFERROR(
  IF(
    ISBLANK(INDEX(Zestawienie!B:B, MATCH(A267, Zestawienie!A:A, 0))),
    "",
    IF(C267="Wolne",
      IF(
        OR(
          ISBLANK(INDEX(Zestawienie!B:B, MATCH(A267, Zestawienie!A:A, 0))),
          NOT(ISNUMBER(INDEX(Zestawienie!B:B, MATCH(A267, Zestawienie!A:A, 0))))
        ),
        "",
        TODAY()-INDEX(Zestawienie!B:B, MATCH(A267, Zestawienie!A:A, 0))
      ),
      IF(OR(C267="Zajęte", C267="Spóźnione"),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67" s="62"/>
    </row>
    <row r="268">
      <c r="A268" s="57">
        <v>267.0</v>
      </c>
      <c r="B268" s="58" t="str">
        <f>IFERROR(__xludf.DUMMYFUNCTION("IF(
  OR(C268=""Zajęte"", C268=""Spóźnione""),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8" s="59" t="str">
        <f t="array" ref="C26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8" s="60" t="str">
        <f t="array" ref="D268">IFERROR(
  IF(
    ISBLANK(INDEX(Zestawienie!B:B, MATCH(A268, Zestawienie!A:A, 0))),
    "",
    IF(C268="Wolne",
      IF(
        OR(
          ISBLANK(INDEX(Zestawienie!B:B, MATCH(A268, Zestawienie!A:A, 0))),
          NOT(ISNUMBER(INDEX(Zestawienie!B:B, MATCH(A268, Zestawienie!A:A, 0))))
        ),
        "",
        TODAY()-INDEX(Zestawienie!B:B, MATCH(A268, Zestawienie!A:A, 0))
      ),
      IF(OR(C268="Zajęte", C268="Spóźnione"),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68" s="62"/>
    </row>
    <row r="269">
      <c r="A269" s="57">
        <v>268.0</v>
      </c>
      <c r="B269" s="58" t="str">
        <f>IFERROR(__xludf.DUMMYFUNCTION("IF(
  OR(C269=""Zajęte"", C269=""Spóźnione""),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69" s="59" t="str">
        <f t="array" ref="C26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69" s="60" t="str">
        <f t="array" ref="D269">IFERROR(
  IF(
    ISBLANK(INDEX(Zestawienie!B:B, MATCH(A269, Zestawienie!A:A, 0))),
    "",
    IF(C269="Wolne",
      IF(
        OR(
          ISBLANK(INDEX(Zestawienie!B:B, MATCH(A269, Zestawienie!A:A, 0))),
          NOT(ISNUMBER(INDEX(Zestawienie!B:B, MATCH(A269, Zestawienie!A:A, 0))))
        ),
        "",
        TODAY()-INDEX(Zestawienie!B:B, MATCH(A269, Zestawienie!A:A, 0))
      ),
      IF(OR(C269="Zajęte", C269="Spóźnione"),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IF(C269="Zajęte",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69" s="62"/>
    </row>
    <row r="270">
      <c r="A270" s="57">
        <v>269.0</v>
      </c>
      <c r="B270" s="58" t="str">
        <f>IFERROR(__xludf.DUMMYFUNCTION("IF(
  OR(C270=""Zajęte"", C270=""Spóźnione""),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0" s="59" t="str">
        <f t="array" ref="C27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0" s="60" t="str">
        <f t="array" ref="D270">IFERROR(
  IF(
    ISBLANK(INDEX(Zestawienie!B:B, MATCH(A270, Zestawienie!A:A, 0))),
    "",
    IF(C270="Wolne",
      IF(
        OR(
          ISBLANK(INDEX(Zestawienie!B:B, MATCH(A270, Zestawienie!A:A, 0))),
          NOT(ISNUMBER(INDEX(Zestawienie!B:B, MATCH(A270, Zestawienie!A:A, 0))))
        ),
        "",
        TODAY()-INDEX(Zestawienie!B:B, MATCH(A270, Zestawienie!A:A, 0))
      ),
      IF(OR(C270="Zajęte", C270="Spóźnione"),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0" s="62"/>
    </row>
    <row r="271">
      <c r="A271" s="57">
        <v>270.0</v>
      </c>
      <c r="B271" s="58" t="str">
        <f>IFERROR(__xludf.DUMMYFUNCTION("IF(
  OR(C271=""Zajęte"", C271=""Spóźnione""),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1" s="59" t="str">
        <f t="array" ref="C27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1" s="60" t="str">
        <f t="array" ref="D271">IFERROR(
  IF(
    ISBLANK(INDEX(Zestawienie!B:B, MATCH(A271, Zestawienie!A:A, 0))),
    "",
    IF(C271="Wolne",
      IF(
        OR(
          ISBLANK(INDEX(Zestawienie!B:B, MATCH(A271, Zestawienie!A:A, 0))),
          NOT(ISNUMBER(INDEX(Zestawienie!B:B, MATCH(A271, Zestawienie!A:A, 0))))
        ),
        "",
        TODAY()-INDEX(Zestawienie!B:B, MATCH(A271, Zestawienie!A:A, 0))
      ),
      IF(OR(C271="Zajęte", C271="Spóźnione"),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1" s="62"/>
    </row>
    <row r="272">
      <c r="A272" s="57">
        <v>271.0</v>
      </c>
      <c r="B272" s="58" t="str">
        <f>IFERROR(__xludf.DUMMYFUNCTION("IF(
  OR(C272=""Zajęte"", C272=""Spóźnione""),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2" s="59" t="str">
        <f t="array" ref="C27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2" s="60" t="str">
        <f t="array" ref="D272">IFERROR(
  IF(
    ISBLANK(INDEX(Zestawienie!B:B, MATCH(A272, Zestawienie!A:A, 0))),
    "",
    IF(C272="Wolne",
      IF(
        OR(
          ISBLANK(INDEX(Zestawienie!B:B, MATCH(A272, Zestawienie!A:A, 0))),
          NOT(ISNUMBER(INDEX(Zestawienie!B:B, MATCH(A272, Zestawienie!A:A, 0))))
        ),
        "",
        TODAY()-INDEX(Zestawienie!B:B, MATCH(A272, Zestawienie!A:A, 0))
      ),
      IF(OR(C272="Zajęte", C272="Spóźnione"),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2" s="62"/>
    </row>
    <row r="273">
      <c r="A273" s="57">
        <v>272.0</v>
      </c>
      <c r="B273" s="58" t="str">
        <f>IFERROR(__xludf.DUMMYFUNCTION("IF(
  OR(C273=""Zajęte"", C273=""Spóźnione""),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3" s="59" t="str">
        <f t="array" ref="C27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3" s="60" t="str">
        <f t="array" ref="D273">IFERROR(
  IF(
    ISBLANK(INDEX(Zestawienie!B:B, MATCH(A273, Zestawienie!A:A, 0))),
    "",
    IF(C273="Wolne",
      IF(
        OR(
          ISBLANK(INDEX(Zestawienie!B:B, MATCH(A273, Zestawienie!A:A, 0))),
          NOT(ISNUMBER(INDEX(Zestawienie!B:B, MATCH(A273, Zestawienie!A:A, 0))))
        ),
        "",
        TODAY()-INDEX(Zestawienie!B:B, MATCH(A273, Zestawienie!A:A, 0))
      ),
      IF(OR(C273="Zajęte", C273="Spóźnione"),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3" s="62"/>
    </row>
    <row r="274">
      <c r="A274" s="57">
        <v>273.0</v>
      </c>
      <c r="B274" s="58" t="str">
        <f>IFERROR(__xludf.DUMMYFUNCTION("IF(
  OR(C274=""Zajęte"", C274=""Spóźnione""),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4" s="59" t="str">
        <f t="array" ref="C27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4" s="60" t="str">
        <f t="array" ref="D274">IFERROR(
  IF(
    ISBLANK(INDEX(Zestawienie!B:B, MATCH(A274, Zestawienie!A:A, 0))),
    "",
    IF(C274="Wolne",
      IF(
        OR(
          ISBLANK(INDEX(Zestawienie!B:B, MATCH(A274, Zestawienie!A:A, 0))),
          NOT(ISNUMBER(INDEX(Zestawienie!B:B, MATCH(A274, Zestawienie!A:A, 0))))
        ),
        "",
        TODAY()-INDEX(Zestawienie!B:B, MATCH(A274, Zestawienie!A:A, 0))
      ),
      IF(OR(C274="Zajęte", C274="Spóźnione"),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4" s="62"/>
    </row>
    <row r="275">
      <c r="A275" s="57">
        <v>274.0</v>
      </c>
      <c r="B275" s="58" t="str">
        <f>IFERROR(__xludf.DUMMYFUNCTION("IF(
  OR(C275=""Zajęte"", C275=""Spóźnione""),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5" s="59" t="str">
        <f t="array" ref="C27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5" s="60" t="str">
        <f t="array" ref="D275">IFERROR(
  IF(
    ISBLANK(INDEX(Zestawienie!B:B, MATCH(A275, Zestawienie!A:A, 0))),
    "",
    IF(C275="Wolne",
      IF(
        OR(
          ISBLANK(INDEX(Zestawienie!B:B, MATCH(A275, Zestawienie!A:A, 0))),
          NOT(ISNUMBER(INDEX(Zestawienie!B:B, MATCH(A275, Zestawienie!A:A, 0))))
        ),
        "",
        TODAY()-INDEX(Zestawienie!B:B, MATCH(A275, Zestawienie!A:A, 0))
      ),
      IF(OR(C275="Zajęte", C275="Spóźnione"),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5" s="62"/>
    </row>
    <row r="276">
      <c r="A276" s="57">
        <v>275.0</v>
      </c>
      <c r="B276" s="58" t="str">
        <f>IFERROR(__xludf.DUMMYFUNCTION("IF(
  OR(C276=""Zajęte"", C276=""Spóźnione""),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6" s="59" t="str">
        <f t="array" ref="C27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6" s="60" t="str">
        <f t="array" ref="D276">IFERROR(
  IF(
    ISBLANK(INDEX(Zestawienie!B:B, MATCH(A276, Zestawienie!A:A, 0))),
    "",
    IF(C276="Wolne",
      IF(
        OR(
          ISBLANK(INDEX(Zestawienie!B:B, MATCH(A276, Zestawienie!A:A, 0))),
          NOT(ISNUMBER(INDEX(Zestawienie!B:B, MATCH(A276, Zestawienie!A:A, 0))))
        ),
        "",
        TODAY()-INDEX(Zestawienie!B:B, MATCH(A276, Zestawienie!A:A, 0))
      ),
      IF(OR(C276="Zajęte", C276="Spóźnione"),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6" s="62"/>
    </row>
    <row r="277">
      <c r="A277" s="57">
        <v>276.0</v>
      </c>
      <c r="B277" s="58" t="str">
        <f>IFERROR(__xludf.DUMMYFUNCTION("IF(
  OR(C277=""Zajęte"", C277=""Spóźnione""),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7" s="59" t="str">
        <f t="array" ref="C27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7" s="60" t="str">
        <f t="array" ref="D277">IFERROR(
  IF(
    ISBLANK(INDEX(Zestawienie!B:B, MATCH(A277, Zestawienie!A:A, 0))),
    "",
    IF(C277="Wolne",
      IF(
        OR(
          ISBLANK(INDEX(Zestawienie!B:B, MATCH(A277, Zestawienie!A:A, 0))),
          NOT(ISNUMBER(INDEX(Zestawienie!B:B, MATCH(A277, Zestawienie!A:A, 0))))
        ),
        "",
        TODAY()-INDEX(Zestawienie!B:B, MATCH(A277, Zestawienie!A:A, 0))
      ),
      IF(OR(C277="Zajęte", C277="Spóźnione"),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7" s="62"/>
    </row>
    <row r="278">
      <c r="A278" s="57">
        <v>277.0</v>
      </c>
      <c r="B278" s="58" t="str">
        <f>IFERROR(__xludf.DUMMYFUNCTION("IF(
  OR(C278=""Zajęte"", C278=""Spóźnione""),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8" s="59" t="str">
        <f t="array" ref="C27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8" s="60" t="str">
        <f t="array" ref="D278">IFERROR(
  IF(
    ISBLANK(INDEX(Zestawienie!B:B, MATCH(A278, Zestawienie!A:A, 0))),
    "",
    IF(C278="Wolne",
      IF(
        OR(
          ISBLANK(INDEX(Zestawienie!B:B, MATCH(A278, Zestawienie!A:A, 0))),
          NOT(ISNUMBER(INDEX(Zestawienie!B:B, MATCH(A278, Zestawienie!A:A, 0))))
        ),
        "",
        TODAY()-INDEX(Zestawienie!B:B, MATCH(A278, Zestawienie!A:A, 0))
      ),
      IF(OR(C278="Zajęte", C278="Spóźnione"),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8" s="62"/>
    </row>
    <row r="279">
      <c r="A279" s="57">
        <v>278.0</v>
      </c>
      <c r="B279" s="58" t="str">
        <f>IFERROR(__xludf.DUMMYFUNCTION("IF(
  OR(C279=""Zajęte"", C279=""Spóźnione""),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79" s="59" t="str">
        <f t="array" ref="C27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79" s="60" t="str">
        <f t="array" ref="D279">IFERROR(
  IF(
    ISBLANK(INDEX(Zestawienie!B:B, MATCH(A279, Zestawienie!A:A, 0))),
    "",
    IF(C279="Wolne",
      IF(
        OR(
          ISBLANK(INDEX(Zestawienie!B:B, MATCH(A279, Zestawienie!A:A, 0))),
          NOT(ISNUMBER(INDEX(Zestawienie!B:B, MATCH(A279, Zestawienie!A:A, 0))))
        ),
        "",
        TODAY()-INDEX(Zestawienie!B:B, MATCH(A279, Zestawienie!A:A, 0))
      ),
      IF(OR(C279="Zajęte", C279="Spóźnione"),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IF(C279="Zajęte",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79" s="62"/>
    </row>
    <row r="280">
      <c r="A280" s="57">
        <v>279.0</v>
      </c>
      <c r="B280" s="58" t="str">
        <f>IFERROR(__xludf.DUMMYFUNCTION("IF(
  OR(C280=""Zajęte"", C280=""Spóźnione""),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0" s="59" t="str">
        <f t="array" ref="C28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0" s="60" t="str">
        <f t="array" ref="D280">IFERROR(
  IF(
    ISBLANK(INDEX(Zestawienie!B:B, MATCH(A280, Zestawienie!A:A, 0))),
    "",
    IF(C280="Wolne",
      IF(
        OR(
          ISBLANK(INDEX(Zestawienie!B:B, MATCH(A280, Zestawienie!A:A, 0))),
          NOT(ISNUMBER(INDEX(Zestawienie!B:B, MATCH(A280, Zestawienie!A:A, 0))))
        ),
        "",
        TODAY()-INDEX(Zestawienie!B:B, MATCH(A280, Zestawienie!A:A, 0))
      ),
      IF(OR(C280="Zajęte", C280="Spóźnione"),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0" s="62"/>
    </row>
    <row r="281">
      <c r="A281" s="57">
        <v>280.0</v>
      </c>
      <c r="B281" s="58" t="str">
        <f>IFERROR(__xludf.DUMMYFUNCTION("IF(
  OR(C281=""Zajęte"", C281=""Spóźnione""),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1" s="59" t="str">
        <f t="array" ref="C28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1" s="60" t="str">
        <f t="array" ref="D281">IFERROR(
  IF(
    ISBLANK(INDEX(Zestawienie!B:B, MATCH(A281, Zestawienie!A:A, 0))),
    "",
    IF(C281="Wolne",
      IF(
        OR(
          ISBLANK(INDEX(Zestawienie!B:B, MATCH(A281, Zestawienie!A:A, 0))),
          NOT(ISNUMBER(INDEX(Zestawienie!B:B, MATCH(A281, Zestawienie!A:A, 0))))
        ),
        "",
        TODAY()-INDEX(Zestawienie!B:B, MATCH(A281, Zestawienie!A:A, 0))
      ),
      IF(OR(C281="Zajęte", C281="Spóźnione"),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1" s="62"/>
    </row>
    <row r="282">
      <c r="A282" s="57">
        <v>281.0</v>
      </c>
      <c r="B282" s="58" t="str">
        <f>IFERROR(__xludf.DUMMYFUNCTION("IF(
  OR(C282=""Zajęte"", C282=""Spóźnione""),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2" s="59" t="str">
        <f t="array" ref="C28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2" s="60" t="str">
        <f t="array" ref="D282">IFERROR(
  IF(
    ISBLANK(INDEX(Zestawienie!B:B, MATCH(A282, Zestawienie!A:A, 0))),
    "",
    IF(C282="Wolne",
      IF(
        OR(
          ISBLANK(INDEX(Zestawienie!B:B, MATCH(A282, Zestawienie!A:A, 0))),
          NOT(ISNUMBER(INDEX(Zestawienie!B:B, MATCH(A282, Zestawienie!A:A, 0))))
        ),
        "",
        TODAY()-INDEX(Zestawienie!B:B, MATCH(A282, Zestawienie!A:A, 0))
      ),
      IF(OR(C282="Zajęte", C282="Spóźnione"),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2" s="62"/>
    </row>
    <row r="283">
      <c r="A283" s="57">
        <v>282.0</v>
      </c>
      <c r="B283" s="58" t="str">
        <f>IFERROR(__xludf.DUMMYFUNCTION("IF(
  OR(C283=""Zajęte"", C283=""Spóźnione""),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3" s="59" t="str">
        <f t="array" ref="C28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3" s="60" t="str">
        <f t="array" ref="D283">IFERROR(
  IF(
    ISBLANK(INDEX(Zestawienie!B:B, MATCH(A283, Zestawienie!A:A, 0))),
    "",
    IF(C283="Wolne",
      IF(
        OR(
          ISBLANK(INDEX(Zestawienie!B:B, MATCH(A283, Zestawienie!A:A, 0))),
          NOT(ISNUMBER(INDEX(Zestawienie!B:B, MATCH(A283, Zestawienie!A:A, 0))))
        ),
        "",
        TODAY()-INDEX(Zestawienie!B:B, MATCH(A283, Zestawienie!A:A, 0))
      ),
      IF(OR(C283="Zajęte", C283="Spóźnione"),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3" s="62"/>
    </row>
    <row r="284">
      <c r="A284" s="57">
        <v>283.0</v>
      </c>
      <c r="B284" s="58" t="str">
        <f>IFERROR(__xludf.DUMMYFUNCTION("IF(
  OR(C284=""Zajęte"", C284=""Spóźnione""),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4" s="59" t="str">
        <f t="array" ref="C28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4" s="60" t="str">
        <f t="array" ref="D284">IFERROR(
  IF(
    ISBLANK(INDEX(Zestawienie!B:B, MATCH(A284, Zestawienie!A:A, 0))),
    "",
    IF(C284="Wolne",
      IF(
        OR(
          ISBLANK(INDEX(Zestawienie!B:B, MATCH(A284, Zestawienie!A:A, 0))),
          NOT(ISNUMBER(INDEX(Zestawienie!B:B, MATCH(A284, Zestawienie!A:A, 0))))
        ),
        "",
        TODAY()-INDEX(Zestawienie!B:B, MATCH(A284, Zestawienie!A:A, 0))
      ),
      IF(OR(C284="Zajęte", C284="Spóźnione"),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4" s="62"/>
    </row>
    <row r="285">
      <c r="A285" s="57">
        <v>284.0</v>
      </c>
      <c r="B285" s="58" t="str">
        <f>IFERROR(__xludf.DUMMYFUNCTION("IF(
  OR(C285=""Zajęte"", C285=""Spóźnione""),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5" s="59" t="str">
        <f t="array" ref="C28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5" s="60" t="str">
        <f t="array" ref="D285">IFERROR(
  IF(
    ISBLANK(INDEX(Zestawienie!B:B, MATCH(A285, Zestawienie!A:A, 0))),
    "",
    IF(C285="Wolne",
      IF(
        OR(
          ISBLANK(INDEX(Zestawienie!B:B, MATCH(A285, Zestawienie!A:A, 0))),
          NOT(ISNUMBER(INDEX(Zestawienie!B:B, MATCH(A285, Zestawienie!A:A, 0))))
        ),
        "",
        TODAY()-INDEX(Zestawienie!B:B, MATCH(A285, Zestawienie!A:A, 0))
      ),
      IF(OR(C285="Zajęte", C285="Spóźnione"),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5" s="62"/>
    </row>
    <row r="286">
      <c r="A286" s="57">
        <v>285.0</v>
      </c>
      <c r="B286" s="58" t="str">
        <f>IFERROR(__xludf.DUMMYFUNCTION("IF(
  OR(C286=""Zajęte"", C286=""Spóźnione""),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6" s="59" t="str">
        <f t="array" ref="C28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6" s="60" t="str">
        <f t="array" ref="D286">IFERROR(
  IF(
    ISBLANK(INDEX(Zestawienie!B:B, MATCH(A286, Zestawienie!A:A, 0))),
    "",
    IF(C286="Wolne",
      IF(
        OR(
          ISBLANK(INDEX(Zestawienie!B:B, MATCH(A286, Zestawienie!A:A, 0))),
          NOT(ISNUMBER(INDEX(Zestawienie!B:B, MATCH(A286, Zestawienie!A:A, 0))))
        ),
        "",
        TODAY()-INDEX(Zestawienie!B:B, MATCH(A286, Zestawienie!A:A, 0))
      ),
      IF(OR(C286="Zajęte", C286="Spóźnione"),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6" s="62"/>
    </row>
    <row r="287">
      <c r="A287" s="57">
        <v>286.0</v>
      </c>
      <c r="B287" s="58" t="str">
        <f>IFERROR(__xludf.DUMMYFUNCTION("IF(
  OR(C287=""Zajęte"", C287=""Spóźnione""),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7" s="59" t="str">
        <f t="array" ref="C28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7" s="60" t="str">
        <f t="array" ref="D287">IFERROR(
  IF(
    ISBLANK(INDEX(Zestawienie!B:B, MATCH(A287, Zestawienie!A:A, 0))),
    "",
    IF(C287="Wolne",
      IF(
        OR(
          ISBLANK(INDEX(Zestawienie!B:B, MATCH(A287, Zestawienie!A:A, 0))),
          NOT(ISNUMBER(INDEX(Zestawienie!B:B, MATCH(A287, Zestawienie!A:A, 0))))
        ),
        "",
        TODAY()-INDEX(Zestawienie!B:B, MATCH(A287, Zestawienie!A:A, 0))
      ),
      IF(OR(C287="Zajęte", C287="Spóźnione"),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7" s="62"/>
    </row>
    <row r="288">
      <c r="A288" s="57">
        <v>287.0</v>
      </c>
      <c r="B288" s="58" t="str">
        <f>IFERROR(__xludf.DUMMYFUNCTION("IF(
  OR(C288=""Zajęte"", C288=""Spóźnione""),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8" s="59" t="str">
        <f t="array" ref="C28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8" s="60" t="str">
        <f t="array" ref="D288">IFERROR(
  IF(
    ISBLANK(INDEX(Zestawienie!B:B, MATCH(A288, Zestawienie!A:A, 0))),
    "",
    IF(C288="Wolne",
      IF(
        OR(
          ISBLANK(INDEX(Zestawienie!B:B, MATCH(A288, Zestawienie!A:A, 0))),
          NOT(ISNUMBER(INDEX(Zestawienie!B:B, MATCH(A288, Zestawienie!A:A, 0))))
        ),
        "",
        TODAY()-INDEX(Zestawienie!B:B, MATCH(A288, Zestawienie!A:A, 0))
      ),
      IF(OR(C288="Zajęte", C288="Spóźnione"),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8" s="62"/>
    </row>
    <row r="289">
      <c r="A289" s="57">
        <v>288.0</v>
      </c>
      <c r="B289" s="58" t="str">
        <f>IFERROR(__xludf.DUMMYFUNCTION("IF(
  OR(C289=""Zajęte"", C289=""Spóźnione""),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89" s="59" t="str">
        <f t="array" ref="C28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89" s="60" t="str">
        <f t="array" ref="D289">IFERROR(
  IF(
    ISBLANK(INDEX(Zestawienie!B:B, MATCH(A289, Zestawienie!A:A, 0))),
    "",
    IF(C289="Wolne",
      IF(
        OR(
          ISBLANK(INDEX(Zestawienie!B:B, MATCH(A289, Zestawienie!A:A, 0))),
          NOT(ISNUMBER(INDEX(Zestawienie!B:B, MATCH(A289, Zestawienie!A:A, 0))))
        ),
        "",
        TODAY()-INDEX(Zestawienie!B:B, MATCH(A289, Zestawienie!A:A, 0))
      ),
      IF(OR(C289="Zajęte", C289="Spóźnione"),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IF(C289="Zajęte",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89" s="62"/>
    </row>
    <row r="290">
      <c r="A290" s="57">
        <v>289.0</v>
      </c>
      <c r="B290" s="58" t="str">
        <f>IFERROR(__xludf.DUMMYFUNCTION("IF(
  OR(C290=""Zajęte"", C290=""Spóźnione""),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0" s="59" t="str">
        <f t="array" ref="C29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0" s="60" t="str">
        <f t="array" ref="D290">IFERROR(
  IF(
    ISBLANK(INDEX(Zestawienie!B:B, MATCH(A290, Zestawienie!A:A, 0))),
    "",
    IF(C290="Wolne",
      IF(
        OR(
          ISBLANK(INDEX(Zestawienie!B:B, MATCH(A290, Zestawienie!A:A, 0))),
          NOT(ISNUMBER(INDEX(Zestawienie!B:B, MATCH(A290, Zestawienie!A:A, 0))))
        ),
        "",
        TODAY()-INDEX(Zestawienie!B:B, MATCH(A290, Zestawienie!A:A, 0))
      ),
      IF(OR(C290="Zajęte", C290="Spóźnione"),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0" s="62"/>
    </row>
    <row r="291">
      <c r="A291" s="57">
        <v>290.0</v>
      </c>
      <c r="B291" s="58" t="str">
        <f>IFERROR(__xludf.DUMMYFUNCTION("IF(
  OR(C291=""Zajęte"", C291=""Spóźnione""),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1" s="59" t="str">
        <f t="array" ref="C29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1" s="60" t="str">
        <f t="array" ref="D291">IFERROR(
  IF(
    ISBLANK(INDEX(Zestawienie!B:B, MATCH(A291, Zestawienie!A:A, 0))),
    "",
    IF(C291="Wolne",
      IF(
        OR(
          ISBLANK(INDEX(Zestawienie!B:B, MATCH(A291, Zestawienie!A:A, 0))),
          NOT(ISNUMBER(INDEX(Zestawienie!B:B, MATCH(A291, Zestawienie!A:A, 0))))
        ),
        "",
        TODAY()-INDEX(Zestawienie!B:B, MATCH(A291, Zestawienie!A:A, 0))
      ),
      IF(OR(C291="Zajęte", C291="Spóźnione"),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1" s="62"/>
    </row>
    <row r="292">
      <c r="A292" s="57">
        <v>291.0</v>
      </c>
      <c r="B292" s="58" t="str">
        <f>IFERROR(__xludf.DUMMYFUNCTION("IF(
  OR(C292=""Zajęte"", C292=""Spóźnione""),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2" s="59" t="str">
        <f t="array" ref="C292">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2" s="60" t="str">
        <f t="array" ref="D292">IFERROR(
  IF(
    ISBLANK(INDEX(Zestawienie!B:B, MATCH(A292, Zestawienie!A:A, 0))),
    "",
    IF(C292="Wolne",
      IF(
        OR(
          ISBLANK(INDEX(Zestawienie!B:B, MATCH(A292, Zestawienie!A:A, 0))),
          NOT(ISNUMBER(INDEX(Zestawienie!B:B, MATCH(A292, Zestawienie!A:A, 0))))
        ),
        "",
        TODAY()-INDEX(Zestawienie!B:B, MATCH(A292, Zestawienie!A:A, 0))
      ),
      IF(OR(C292="Zajęte", C292="Spóźnione"),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IF(C292="Zajęte",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2" s="62"/>
    </row>
    <row r="293">
      <c r="A293" s="57">
        <v>292.0</v>
      </c>
      <c r="B293" s="58" t="str">
        <f>IFERROR(__xludf.DUMMYFUNCTION("IF(
  OR(C293=""Zajęte"", C293=""Spóźnione""),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3" s="59" t="str">
        <f t="array" ref="C293">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3" s="60" t="str">
        <f t="array" ref="D293">IFERROR(
  IF(
    ISBLANK(INDEX(Zestawienie!B:B, MATCH(A293, Zestawienie!A:A, 0))),
    "",
    IF(C293="Wolne",
      IF(
        OR(
          ISBLANK(INDEX(Zestawienie!B:B, MATCH(A293, Zestawienie!A:A, 0))),
          NOT(ISNUMBER(INDEX(Zestawienie!B:B, MATCH(A293, Zestawienie!A:A, 0))))
        ),
        "",
        TODAY()-INDEX(Zestawienie!B:B, MATCH(A293, Zestawienie!A:A, 0))
      ),
      IF(OR(C293="Zajęte", C293="Spóźnione"),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IF(C293="Zajęte",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3" s="62"/>
    </row>
    <row r="294">
      <c r="A294" s="57">
        <v>293.0</v>
      </c>
      <c r="B294" s="58" t="str">
        <f>IFERROR(__xludf.DUMMYFUNCTION("IF(
  OR(C294=""Zajęte"", C294=""Spóźnione""),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4" s="59" t="str">
        <f t="array" ref="C294">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4" s="60" t="str">
        <f t="array" ref="D294">IFERROR(
  IF(
    ISBLANK(INDEX(Zestawienie!B:B, MATCH(A294, Zestawienie!A:A, 0))),
    "",
    IF(C294="Wolne",
      IF(
        OR(
          ISBLANK(INDEX(Zestawienie!B:B, MATCH(A294, Zestawienie!A:A, 0))),
          NOT(ISNUMBER(INDEX(Zestawienie!B:B, MATCH(A294, Zestawienie!A:A, 0))))
        ),
        "",
        TODAY()-INDEX(Zestawienie!B:B, MATCH(A294, Zestawienie!A:A, 0))
      ),
      IF(OR(C294="Zajęte", C294="Spóźnione"),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IF(C294="Zajęte",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4" s="62"/>
    </row>
    <row r="295">
      <c r="A295" s="57">
        <v>294.0</v>
      </c>
      <c r="B295" s="58" t="str">
        <f>IFERROR(__xludf.DUMMYFUNCTION("IF(
  OR(C295=""Zajęte"", C295=""Spóźnione""),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5" s="59" t="str">
        <f t="array" ref="C295">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5" s="60" t="str">
        <f t="array" ref="D295">IFERROR(
  IF(
    ISBLANK(INDEX(Zestawienie!B:B, MATCH(A295, Zestawienie!A:A, 0))),
    "",
    IF(C295="Wolne",
      IF(
        OR(
          ISBLANK(INDEX(Zestawienie!B:B, MATCH(A295, Zestawienie!A:A, 0))),
          NOT(ISNUMBER(INDEX(Zestawienie!B:B, MATCH(A295, Zestawienie!A:A, 0))))
        ),
        "",
        TODAY()-INDEX(Zestawienie!B:B, MATCH(A295, Zestawienie!A:A, 0))
      ),
      IF(OR(C295="Zajęte", C295="Spóźnione"),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IF(C295="Zajęte",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5" s="62"/>
    </row>
    <row r="296">
      <c r="A296" s="57">
        <v>295.0</v>
      </c>
      <c r="B296" s="58" t="str">
        <f>IFERROR(__xludf.DUMMYFUNCTION("IF(
  OR(C296=""Zajęte"", C296=""Spóźnione""),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6" s="59" t="str">
        <f t="array" ref="C296">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6" s="60" t="str">
        <f t="array" ref="D296">IFERROR(
  IF(
    ISBLANK(INDEX(Zestawienie!B:B, MATCH(A296, Zestawienie!A:A, 0))),
    "",
    IF(C296="Wolne",
      IF(
        OR(
          ISBLANK(INDEX(Zestawienie!B:B, MATCH(A296, Zestawienie!A:A, 0))),
          NOT(ISNUMBER(INDEX(Zestawienie!B:B, MATCH(A296, Zestawienie!A:A, 0))))
        ),
        "",
        TODAY()-INDEX(Zestawienie!B:B, MATCH(A296, Zestawienie!A:A, 0))
      ),
      IF(OR(C296="Zajęte", C296="Spóźnione"),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IF(C296="Zajęte",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6" s="62"/>
    </row>
    <row r="297">
      <c r="A297" s="57">
        <v>296.0</v>
      </c>
      <c r="B297" s="58" t="str">
        <f>IFERROR(__xludf.DUMMYFUNCTION("IF(
  OR(C297=""Zajęte"", C297=""Spóźnione""),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7" s="59" t="str">
        <f t="array" ref="C297">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7" s="60" t="str">
        <f t="array" ref="D297">IFERROR(
  IF(
    ISBLANK(INDEX(Zestawienie!B:B, MATCH(A297, Zestawienie!A:A, 0))),
    "",
    IF(C297="Wolne",
      IF(
        OR(
          ISBLANK(INDEX(Zestawienie!B:B, MATCH(A297, Zestawienie!A:A, 0))),
          NOT(ISNUMBER(INDEX(Zestawienie!B:B, MATCH(A297, Zestawienie!A:A, 0))))
        ),
        "",
        TODAY()-INDEX(Zestawienie!B:B, MATCH(A297, Zestawienie!A:A, 0))
      ),
      IF(OR(C297="Zajęte", C297="Spóźnione"),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IF(C297="Zajęte",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7" s="62"/>
    </row>
    <row r="298">
      <c r="A298" s="57">
        <v>297.0</v>
      </c>
      <c r="B298" s="58" t="str">
        <f>IFERROR(__xludf.DUMMYFUNCTION("IF(
  OR(C298=""Zajęte"", C298=""Spóźnione""),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8" s="59" t="str">
        <f t="array" ref="C298">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8" s="60" t="str">
        <f t="array" ref="D298">IFERROR(
  IF(
    ISBLANK(INDEX(Zestawienie!B:B, MATCH(A298, Zestawienie!A:A, 0))),
    "",
    IF(C298="Wolne",
      IF(
        OR(
          ISBLANK(INDEX(Zestawienie!B:B, MATCH(A298, Zestawienie!A:A, 0))),
          NOT(ISNUMBER(INDEX(Zestawienie!B:B, MATCH(A298, Zestawienie!A:A, 0))))
        ),
        "",
        TODAY()-INDEX(Zestawienie!B:B, MATCH(A298, Zestawienie!A:A, 0))
      ),
      IF(OR(C298="Zajęte", C298="Spóźnione"),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IF(C298="Zajęte",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8" s="62"/>
    </row>
    <row r="299">
      <c r="A299" s="57">
        <v>298.0</v>
      </c>
      <c r="B299" s="58" t="str">
        <f>IFERROR(__xludf.DUMMYFUNCTION("IF(
  OR(C299=""Zajęte"", C299=""Spóźnione""),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299" s="59" t="str">
        <f t="array" ref="C299">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299" s="60" t="str">
        <f t="array" ref="D299">IFERROR(
  IF(
    ISBLANK(INDEX(Zestawienie!B:B, MATCH(A299, Zestawienie!A:A, 0))),
    "",
    IF(C299="Wolne",
      IF(
        OR(
          ISBLANK(INDEX(Zestawienie!B:B, MATCH(A299, Zestawienie!A:A, 0))),
          NOT(ISNUMBER(INDEX(Zestawienie!B:B, MATCH(A299, Zestawienie!A:A, 0))))
        ),
        "",
        TODAY()-INDEX(Zestawienie!B:B, MATCH(A299, Zestawienie!A:A, 0))
      ),
      IF(OR(C299="Zajęte", C299="Spóźnione"),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IF(C299="Zajęte",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299" s="62"/>
    </row>
    <row r="300">
      <c r="A300" s="57">
        <v>299.0</v>
      </c>
      <c r="B300" s="58" t="str">
        <f>IFERROR(__xludf.DUMMYFUNCTION("IF(
  OR(C300=""Zajęte"", C300=""Spóźnione""),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300" s="59" t="str">
        <f t="array" ref="C300">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00" s="60" t="str">
        <f t="array" ref="D300">IFERROR(
  IF(
    ISBLANK(INDEX(Zestawienie!B:B, MATCH(A300, Zestawienie!A:A, 0))),
    "",
    IF(C300="Wolne",
      IF(
        OR(
          ISBLANK(INDEX(Zestawienie!B:B, MATCH(A300, Zestawienie!A:A, 0))),
          NOT(ISNUMBER(INDEX(Zestawienie!B:B, MATCH(A300, Zestawienie!A:A, 0))))
        ),
        "",
        TODAY()-INDEX(Zestawienie!B:B, MATCH(A300, Zestawienie!A:A, 0))
      ),
      IF(OR(C300="Zajęte", C300="Spóźnione"),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IF(C300="Zajęte",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300" s="62"/>
    </row>
    <row r="301">
      <c r="A301" s="57">
        <v>300.0</v>
      </c>
      <c r="B301" s="58" t="str">
        <f>IFERROR(__xludf.DUMMYFUNCTION("IF(
  OR(C301=""Zajęte"", C301=""Spóźnione""),
  IFERROR(
    INDEX(
      FILTER(
        {
          INDEX(Zestawienie!K:K, ROW()*2);
          INDEX(Zestawienie!I:I, ROW()*2);
          INDEX(Zestawienie!G:G, ROW()*2);
          INDEX(Zestawienie!E:E, "&amp;"ROW()*2);
          INDEX(Zestawienie!C:C, ROW()*2)
        },
        {
          INDEX(Zestawienie!K:K, ROW()*2)&lt;&gt;"""" ;
          INDEX(Zestawienie!I:I, ROW()*2)&lt;&gt;"""" ;
          INDEX(Zestawienie!G:G, ROW()*2)&lt;&gt;"""" ;
          INDEX(Zestawienie!E:E,"&amp;" ROW()*2)&lt;&gt;"""" ;
          INDEX(Zestawienie!C:C, ROW()*2)&lt;&gt;""""
        }
      ),
      1
    ),
    """"
  ),
  """"
)
"),"")</f>
        <v/>
      </c>
      <c r="C301" s="59" t="str">
        <f t="array" ref="C301">IF(
  OR(
    AND(NOT(ISBLANK(INDEX(Zestawienie!C:C,ROW()*2+1))), INDEX(Zestawienie!C:C,ROW()*2+1)&lt;TODAY()-120, ISBLANK(INDEX(Zestawienie!D:D,ROW()*2+1))),
    AND(NOT(ISBLANK(INDEX(Zestawienie!E:E,ROW()*2+1))), INDEX(Zestawienie!E:E,ROW()*2+1)&lt;TODAY()-120, ISBLANK(INDEX(Zestawienie!F:F,ROW()*2+1))),
    AND(NOT(ISBLANK(INDEX(Zestawienie!G:G,ROW()*2+1))), INDEX(Zestawienie!G:G,ROW()*2+1)&lt;TODAY()-120, ISBLANK(INDEX(Zestawienie!H:H,ROW()*2+1))),
    AND(NOT(ISBLANK(INDEX(Zestawienie!I:I,ROW()*2+1))), INDEX(Zestawienie!I:I,ROW()*2+1)&lt;TODAY()-120, ISBLANK(INDEX(Zestawienie!J:J,ROW()*2+1))),
    AND(NOT(ISBLANK(INDEX(Zestawienie!K:K,ROW()*2+1))), INDEX(Zestawienie!K:K,ROW()*2+1)&lt;TODAY()-120, ISBLANK(INDEX(Zestawienie!L:L,ROW()*2+1)))
  ),
  "Spóźnione",
  IF(
    OR(
      AND(NOT(ISBLANK(INDEX(Zestawienie!C:C,ROW()*2+1))), ISBLANK(INDEX(Zestawienie!D:D,ROW()*2+1))),
      AND(NOT(ISBLANK(INDEX(Zestawienie!E:E,ROW()*2+1))), ISBLANK(INDEX(Zestawienie!F:F,ROW()*2+1))),
      AND(NOT(ISBLANK(INDEX(Zestawienie!G:G,ROW()*2+1))), ISBLANK(INDEX(Zestawienie!H:H,ROW()*2+1))),
      AND(NOT(ISBLANK(INDEX(Zestawienie!I:I,ROW()*2+1))), ISBLANK(INDEX(Zestawienie!J:J,ROW()*2+1))),
      AND(NOT(ISBLANK(INDEX(Zestawienie!K:K,ROW()*2+1))), ISBLANK(INDEX(Zestawienie!L:L,ROW()*2+1)))
    ),
    "Zajęte",
    "Wolne"
  )
)
</f>
        <v>Wolne</v>
      </c>
      <c r="D301" s="60" t="str">
        <f t="array" ref="D301">IFERROR(
  IF(
    ISBLANK(INDEX(Zestawienie!B:B, MATCH(A301, Zestawienie!A:A, 0))),
    "",
    IF(C301="Wolne",
      IF(
        OR(
          ISBLANK(INDEX(Zestawienie!B:B, MATCH(A301, Zestawienie!A:A, 0))),
          NOT(ISNUMBER(INDEX(Zestawienie!B:B, MATCH(A301, Zestawienie!A:A, 0))))
        ),
        "",
        TODAY()-INDEX(Zestawienie!B:B, MATCH(A301, Zestawienie!A:A, 0))
      ),
      IF(OR(C301="Zajęte", C301="Spóźnione"),
        IF(
          ISBLANK(
            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
          "",
          IF(C301="Zajęte",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
            MAX(0, TODAY()-MAX(
              IF(ISNUMBER(INDEX(Zestawienie!C:C, 2*ROW()+1)), INDEX(Zestawienie!C:C, 2*ROW()+1), 0),
              IF(ISNUMBER(INDEX(Zestawienie!E:E, 2*ROW()+1)), INDEX(Zestawienie!E:E, 2*ROW()+1), 0),
              IF(ISNUMBER(INDEX(Zestawienie!G:G, 2*ROW()+1)), INDEX(Zestawienie!G:G, 2*ROW()+1), 0),
              IF(ISNUMBER(INDEX(Zestawienie!I:I, 2*ROW()+1)), INDEX(Zestawienie!I:I, 2*ROW()+1), 0),
              IF(ISNUMBER(INDEX(Zestawienie!K:K, 2*ROW()+1)), INDEX(Zestawienie!K:K, 2*ROW()+1), 0)
            )-120)
          )
        ),
        ""
      )
    )
  ),
"")
</f>
        <v/>
      </c>
      <c r="E301" s="62"/>
    </row>
  </sheetData>
  <conditionalFormatting sqref="C2:C301">
    <cfRule type="containsText" dxfId="0" priority="1" operator="containsText" text="Wolne">
      <formula>NOT(ISERROR(SEARCH(("Wolne"),(C2))))</formula>
    </cfRule>
  </conditionalFormatting>
  <conditionalFormatting sqref="C2:C301">
    <cfRule type="containsText" dxfId="1" priority="2" operator="containsText" text="Zajęte">
      <formula>NOT(ISERROR(SEARCH(("Zajęte"),(C2))))</formula>
    </cfRule>
  </conditionalFormatting>
  <conditionalFormatting sqref="C2:C301">
    <cfRule type="containsText" dxfId="2" priority="3" operator="containsText" text="Spóźnione">
      <formula>NOT(ISERROR(SEARCH(("Spóźnione"),(C2))))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0"/>
    <col customWidth="1" min="2" max="2" width="97.13"/>
    <col customWidth="1" min="3" max="3" width="35.63"/>
  </cols>
  <sheetData>
    <row r="1" ht="49.5" customHeight="1">
      <c r="A1" s="2" t="s">
        <v>1</v>
      </c>
      <c r="B1" s="4" t="s">
        <v>6</v>
      </c>
      <c r="C1" s="5" t="s">
        <v>16</v>
      </c>
    </row>
    <row r="2" ht="236.25" customHeight="1">
      <c r="A2" s="7"/>
      <c r="B2" s="8"/>
      <c r="C2" s="9"/>
    </row>
    <row r="3" ht="236.25" customHeight="1">
      <c r="A3" s="7"/>
      <c r="B3" s="8"/>
      <c r="C3" s="9"/>
    </row>
    <row r="4" ht="236.25" customHeight="1">
      <c r="A4" s="7"/>
      <c r="B4" s="8"/>
      <c r="C4" s="9"/>
    </row>
    <row r="5" ht="236.25" customHeight="1">
      <c r="A5" s="7"/>
      <c r="B5" s="8"/>
      <c r="C5" s="9"/>
    </row>
    <row r="6" ht="236.25" customHeight="1">
      <c r="A6" s="7"/>
      <c r="B6" s="8"/>
      <c r="C6" s="9"/>
    </row>
    <row r="7" ht="236.25" customHeight="1">
      <c r="A7" s="7"/>
      <c r="B7" s="8"/>
      <c r="C7" s="9"/>
    </row>
    <row r="8" ht="236.25" customHeight="1">
      <c r="A8" s="7"/>
      <c r="B8" s="8"/>
      <c r="C8" s="9"/>
    </row>
    <row r="9" ht="236.25" customHeight="1">
      <c r="A9" s="7"/>
      <c r="B9" s="8"/>
      <c r="C9" s="9"/>
    </row>
    <row r="10" ht="236.25" customHeight="1">
      <c r="A10" s="7"/>
      <c r="B10" s="8"/>
      <c r="C10" s="9"/>
    </row>
    <row r="11" ht="236.25" customHeight="1">
      <c r="A11" s="7"/>
      <c r="B11" s="8"/>
      <c r="C11" s="9"/>
    </row>
    <row r="12" ht="236.25" customHeight="1">
      <c r="A12" s="7"/>
      <c r="B12" s="8"/>
      <c r="C12" s="9"/>
    </row>
    <row r="13" ht="236.25" customHeight="1">
      <c r="A13" s="7"/>
      <c r="B13" s="8"/>
      <c r="C13" s="9"/>
    </row>
    <row r="14" ht="236.25" customHeight="1">
      <c r="A14" s="7"/>
      <c r="B14" s="8"/>
      <c r="C14" s="9"/>
    </row>
    <row r="15" ht="236.25" customHeight="1">
      <c r="A15" s="7"/>
      <c r="B15" s="8"/>
      <c r="C15" s="9"/>
    </row>
    <row r="16" ht="236.25" customHeight="1">
      <c r="A16" s="7"/>
      <c r="B16" s="8"/>
      <c r="C16" s="9"/>
    </row>
    <row r="17" ht="236.25" customHeight="1">
      <c r="A17" s="7"/>
      <c r="B17" s="8"/>
      <c r="C17" s="9"/>
    </row>
    <row r="18" ht="236.25" customHeight="1">
      <c r="A18" s="7"/>
      <c r="B18" s="8"/>
      <c r="C18" s="9"/>
    </row>
    <row r="19" ht="236.25" customHeight="1">
      <c r="A19" s="7"/>
      <c r="B19" s="8"/>
      <c r="C19" s="9"/>
    </row>
    <row r="20" ht="236.25" customHeight="1">
      <c r="A20" s="7"/>
      <c r="B20" s="8"/>
      <c r="C20" s="9"/>
    </row>
    <row r="21" ht="236.25" customHeight="1">
      <c r="A21" s="7"/>
      <c r="B21" s="8"/>
      <c r="C21" s="9"/>
    </row>
    <row r="22" ht="236.25" customHeight="1">
      <c r="A22" s="7"/>
      <c r="B22" s="8"/>
      <c r="C22" s="9"/>
    </row>
    <row r="23" ht="236.25" customHeight="1">
      <c r="A23" s="7"/>
      <c r="B23" s="8"/>
      <c r="C23" s="9"/>
    </row>
    <row r="24" ht="236.25" customHeight="1">
      <c r="A24" s="7"/>
      <c r="B24" s="8"/>
      <c r="C24" s="9"/>
    </row>
    <row r="25" ht="236.25" customHeight="1">
      <c r="A25" s="7"/>
      <c r="B25" s="8"/>
      <c r="C25" s="9"/>
    </row>
    <row r="26" ht="236.25" customHeight="1">
      <c r="A26" s="7"/>
      <c r="B26" s="8"/>
      <c r="C26" s="9"/>
    </row>
    <row r="27" ht="236.25" customHeight="1">
      <c r="A27" s="7"/>
      <c r="B27" s="8"/>
      <c r="C27" s="9"/>
    </row>
    <row r="28" ht="236.25" customHeight="1">
      <c r="A28" s="7"/>
      <c r="B28" s="8"/>
      <c r="C28" s="9"/>
    </row>
    <row r="29" ht="236.25" customHeight="1">
      <c r="A29" s="7"/>
      <c r="B29" s="8"/>
      <c r="C29" s="9"/>
    </row>
    <row r="30" ht="236.25" customHeight="1">
      <c r="A30" s="7"/>
      <c r="B30" s="8"/>
      <c r="C30" s="9"/>
    </row>
    <row r="31" ht="236.25" customHeight="1">
      <c r="A31" s="7"/>
      <c r="B31" s="8"/>
      <c r="C31" s="9"/>
    </row>
    <row r="32" ht="236.25" customHeight="1">
      <c r="A32" s="7"/>
      <c r="B32" s="8"/>
      <c r="C32" s="9"/>
    </row>
    <row r="33" ht="236.25" customHeight="1">
      <c r="A33" s="7"/>
      <c r="B33" s="8"/>
      <c r="C33" s="9"/>
    </row>
    <row r="34" ht="236.25" customHeight="1">
      <c r="A34" s="7"/>
      <c r="B34" s="8"/>
      <c r="C34" s="9"/>
    </row>
    <row r="35" ht="236.25" customHeight="1">
      <c r="A35" s="7"/>
      <c r="B35" s="8"/>
      <c r="C35" s="9"/>
    </row>
    <row r="36" ht="236.25" customHeight="1">
      <c r="A36" s="7"/>
      <c r="B36" s="8"/>
      <c r="C36" s="9"/>
    </row>
    <row r="37" ht="236.25" customHeight="1">
      <c r="A37" s="7"/>
      <c r="B37" s="8"/>
      <c r="C37" s="9"/>
    </row>
    <row r="38" ht="236.25" customHeight="1">
      <c r="A38" s="7"/>
      <c r="B38" s="8"/>
      <c r="C38" s="9"/>
    </row>
    <row r="39" ht="236.25" customHeight="1">
      <c r="A39" s="7"/>
      <c r="B39" s="8"/>
      <c r="C39" s="9"/>
    </row>
    <row r="40" ht="236.25" customHeight="1">
      <c r="A40" s="7"/>
      <c r="B40" s="8"/>
      <c r="C40" s="9"/>
    </row>
    <row r="41" ht="236.25" customHeight="1">
      <c r="A41" s="7"/>
      <c r="B41" s="8"/>
      <c r="C41" s="9"/>
    </row>
    <row r="42" ht="236.25" customHeight="1">
      <c r="A42" s="7"/>
      <c r="B42" s="8"/>
      <c r="C42" s="9"/>
    </row>
    <row r="43" ht="236.25" customHeight="1">
      <c r="A43" s="7"/>
      <c r="B43" s="8"/>
      <c r="C43" s="9"/>
    </row>
    <row r="44" ht="236.25" customHeight="1">
      <c r="A44" s="7"/>
      <c r="B44" s="8"/>
      <c r="C44" s="9"/>
    </row>
    <row r="45" ht="236.25" customHeight="1">
      <c r="A45" s="7"/>
      <c r="B45" s="8"/>
      <c r="C45" s="9"/>
    </row>
    <row r="46" ht="236.25" customHeight="1">
      <c r="A46" s="7"/>
      <c r="B46" s="8"/>
      <c r="C46" s="9"/>
    </row>
    <row r="47" ht="236.25" customHeight="1">
      <c r="A47" s="7"/>
      <c r="B47" s="8"/>
      <c r="C47" s="9"/>
    </row>
    <row r="48" ht="236.25" customHeight="1">
      <c r="A48" s="7"/>
      <c r="B48" s="8"/>
      <c r="C48" s="9"/>
    </row>
    <row r="49" ht="236.25" customHeight="1">
      <c r="A49" s="7"/>
      <c r="B49" s="8"/>
      <c r="C49" s="9"/>
    </row>
    <row r="50" ht="236.25" customHeight="1">
      <c r="A50" s="7"/>
      <c r="B50" s="8"/>
      <c r="C50" s="9"/>
    </row>
    <row r="51" ht="236.25" customHeight="1">
      <c r="A51" s="7"/>
      <c r="B51" s="8"/>
      <c r="C51" s="9"/>
    </row>
    <row r="52" ht="236.25" customHeight="1">
      <c r="A52" s="7"/>
      <c r="B52" s="8"/>
      <c r="C52" s="9"/>
    </row>
    <row r="53" ht="236.25" customHeight="1">
      <c r="A53" s="7"/>
      <c r="B53" s="8"/>
      <c r="C53" s="9"/>
    </row>
    <row r="54" ht="236.25" customHeight="1">
      <c r="A54" s="7"/>
      <c r="B54" s="8"/>
      <c r="C54" s="9"/>
    </row>
    <row r="55" ht="236.25" customHeight="1">
      <c r="A55" s="7"/>
      <c r="B55" s="8"/>
      <c r="C55" s="9"/>
    </row>
    <row r="56" ht="236.25" customHeight="1">
      <c r="A56" s="7"/>
      <c r="B56" s="8"/>
      <c r="C56" s="9"/>
    </row>
    <row r="57" ht="236.25" customHeight="1">
      <c r="A57" s="7"/>
      <c r="B57" s="8"/>
      <c r="C57" s="9"/>
    </row>
    <row r="58" ht="236.25" customHeight="1">
      <c r="A58" s="7"/>
      <c r="B58" s="8"/>
      <c r="C58" s="9"/>
    </row>
    <row r="59" ht="236.25" customHeight="1">
      <c r="A59" s="7"/>
      <c r="B59" s="8"/>
      <c r="C59" s="9"/>
    </row>
    <row r="60" ht="236.25" customHeight="1">
      <c r="A60" s="7"/>
      <c r="B60" s="8"/>
      <c r="C60" s="9"/>
    </row>
    <row r="61" ht="236.25" customHeight="1">
      <c r="A61" s="7"/>
      <c r="B61" s="8"/>
      <c r="C61" s="9"/>
    </row>
    <row r="62" ht="236.25" customHeight="1">
      <c r="A62" s="7"/>
      <c r="B62" s="8"/>
      <c r="C62" s="9"/>
    </row>
    <row r="63" ht="236.25" customHeight="1">
      <c r="A63" s="7"/>
      <c r="B63" s="8"/>
      <c r="C63" s="9"/>
    </row>
    <row r="64" ht="236.25" customHeight="1">
      <c r="A64" s="7"/>
      <c r="B64" s="8"/>
      <c r="C64" s="9"/>
    </row>
    <row r="65" ht="236.25" customHeight="1">
      <c r="A65" s="7"/>
      <c r="B65" s="8"/>
      <c r="C65" s="9"/>
    </row>
    <row r="66" ht="236.25" customHeight="1">
      <c r="A66" s="7"/>
      <c r="B66" s="8"/>
      <c r="C66" s="9"/>
    </row>
    <row r="67" ht="236.25" customHeight="1">
      <c r="A67" s="7"/>
      <c r="B67" s="8"/>
      <c r="C67" s="9"/>
    </row>
    <row r="68" ht="236.25" customHeight="1">
      <c r="A68" s="7"/>
      <c r="B68" s="8"/>
      <c r="C68" s="9"/>
    </row>
    <row r="69" ht="236.25" customHeight="1">
      <c r="A69" s="7"/>
      <c r="B69" s="8"/>
      <c r="C69" s="9"/>
    </row>
    <row r="70" ht="236.25" customHeight="1">
      <c r="A70" s="7"/>
      <c r="B70" s="8"/>
      <c r="C70" s="9"/>
    </row>
    <row r="71" ht="236.25" customHeight="1">
      <c r="A71" s="7"/>
      <c r="B71" s="8"/>
      <c r="C71" s="9"/>
    </row>
    <row r="72" ht="236.25" customHeight="1">
      <c r="A72" s="7"/>
      <c r="B72" s="8"/>
      <c r="C72" s="9"/>
    </row>
    <row r="73" ht="236.25" customHeight="1">
      <c r="A73" s="7"/>
      <c r="B73" s="8"/>
      <c r="C73" s="9"/>
    </row>
    <row r="74" ht="236.25" customHeight="1">
      <c r="A74" s="7"/>
      <c r="B74" s="8"/>
      <c r="C74" s="9"/>
    </row>
    <row r="75" ht="236.25" customHeight="1">
      <c r="A75" s="7"/>
      <c r="B75" s="8"/>
      <c r="C75" s="9"/>
    </row>
    <row r="76" ht="236.25" customHeight="1">
      <c r="A76" s="7"/>
      <c r="B76" s="8"/>
      <c r="C76" s="9"/>
    </row>
    <row r="77" ht="236.25" customHeight="1">
      <c r="A77" s="7"/>
      <c r="B77" s="8"/>
      <c r="C77" s="9"/>
    </row>
    <row r="78" ht="236.25" customHeight="1">
      <c r="A78" s="7"/>
      <c r="B78" s="8"/>
      <c r="C78" s="9"/>
    </row>
    <row r="79" ht="236.25" customHeight="1">
      <c r="A79" s="7"/>
      <c r="B79" s="8"/>
      <c r="C79" s="9"/>
    </row>
    <row r="80" ht="236.25" customHeight="1">
      <c r="A80" s="7"/>
      <c r="B80" s="8"/>
      <c r="C80" s="9"/>
    </row>
    <row r="81" ht="236.25" customHeight="1">
      <c r="A81" s="7"/>
      <c r="B81" s="8"/>
      <c r="C81" s="9"/>
    </row>
    <row r="82" ht="236.25" customHeight="1">
      <c r="A82" s="7"/>
      <c r="B82" s="8"/>
      <c r="C82" s="9"/>
    </row>
    <row r="83" ht="236.25" customHeight="1">
      <c r="A83" s="7"/>
      <c r="B83" s="8"/>
      <c r="C83" s="9"/>
    </row>
    <row r="84" ht="236.25" customHeight="1">
      <c r="A84" s="7"/>
      <c r="B84" s="8"/>
      <c r="C84" s="9"/>
    </row>
    <row r="85" ht="236.25" customHeight="1">
      <c r="A85" s="7"/>
      <c r="B85" s="8"/>
      <c r="C85" s="9"/>
    </row>
    <row r="86" ht="236.25" customHeight="1">
      <c r="A86" s="7"/>
      <c r="B86" s="8"/>
      <c r="C86" s="9"/>
    </row>
    <row r="87" ht="236.25" customHeight="1">
      <c r="A87" s="7"/>
      <c r="B87" s="8"/>
      <c r="C87" s="9"/>
    </row>
    <row r="88" ht="236.25" customHeight="1">
      <c r="A88" s="7"/>
      <c r="B88" s="8"/>
      <c r="C88" s="9"/>
    </row>
    <row r="89" ht="236.25" customHeight="1">
      <c r="A89" s="7"/>
      <c r="B89" s="8"/>
      <c r="C89" s="9"/>
    </row>
    <row r="90" ht="236.25" customHeight="1">
      <c r="A90" s="7"/>
      <c r="B90" s="8"/>
      <c r="C90" s="9"/>
    </row>
    <row r="91" ht="236.25" customHeight="1">
      <c r="A91" s="7"/>
      <c r="B91" s="8"/>
      <c r="C91" s="9"/>
    </row>
    <row r="92" ht="236.25" customHeight="1">
      <c r="A92" s="7"/>
      <c r="B92" s="8"/>
      <c r="C92" s="9"/>
    </row>
    <row r="93" ht="236.25" customHeight="1">
      <c r="A93" s="7"/>
      <c r="B93" s="8"/>
      <c r="C93" s="9"/>
    </row>
    <row r="94" ht="236.25" customHeight="1">
      <c r="A94" s="7"/>
      <c r="B94" s="8"/>
      <c r="C94" s="9"/>
    </row>
    <row r="95" ht="236.25" customHeight="1">
      <c r="A95" s="7"/>
      <c r="B95" s="8"/>
      <c r="C95" s="9"/>
    </row>
    <row r="96" ht="236.25" customHeight="1">
      <c r="A96" s="7"/>
      <c r="B96" s="8"/>
      <c r="C96" s="9"/>
    </row>
    <row r="97" ht="236.25" customHeight="1">
      <c r="A97" s="7"/>
      <c r="B97" s="8"/>
      <c r="C97" s="9"/>
    </row>
    <row r="98" ht="236.25" customHeight="1">
      <c r="A98" s="7"/>
      <c r="B98" s="8"/>
      <c r="C98" s="9"/>
    </row>
    <row r="99" ht="236.25" customHeight="1">
      <c r="A99" s="7"/>
      <c r="B99" s="8"/>
      <c r="C99" s="9"/>
    </row>
    <row r="100" ht="236.25" customHeight="1">
      <c r="A100" s="7"/>
      <c r="B100" s="8"/>
      <c r="C100" s="9"/>
    </row>
    <row r="101" ht="236.25" customHeight="1">
      <c r="A101" s="7"/>
      <c r="B101" s="8"/>
      <c r="C101" s="9"/>
    </row>
    <row r="102" ht="236.25" customHeight="1">
      <c r="A102" s="7"/>
      <c r="B102" s="8"/>
      <c r="C102" s="9"/>
    </row>
    <row r="103" ht="236.25" customHeight="1">
      <c r="A103" s="7"/>
      <c r="B103" s="8"/>
      <c r="C103" s="9"/>
    </row>
    <row r="104" ht="236.25" customHeight="1">
      <c r="A104" s="7"/>
      <c r="B104" s="8"/>
      <c r="C104" s="9"/>
    </row>
    <row r="105" ht="236.25" customHeight="1">
      <c r="A105" s="7"/>
      <c r="B105" s="8"/>
      <c r="C105" s="9"/>
    </row>
    <row r="106" ht="236.25" customHeight="1">
      <c r="A106" s="7"/>
      <c r="B106" s="8"/>
      <c r="C106" s="9"/>
    </row>
    <row r="107" ht="236.25" customHeight="1">
      <c r="A107" s="7"/>
      <c r="B107" s="8"/>
      <c r="C107" s="9"/>
    </row>
    <row r="108" ht="236.25" customHeight="1">
      <c r="A108" s="7"/>
      <c r="B108" s="8"/>
      <c r="C108" s="9"/>
    </row>
    <row r="109" ht="236.25" customHeight="1">
      <c r="A109" s="7"/>
      <c r="B109" s="8"/>
      <c r="C109" s="9"/>
    </row>
    <row r="110" ht="236.25" customHeight="1">
      <c r="A110" s="7"/>
      <c r="B110" s="8"/>
      <c r="C110" s="9"/>
    </row>
    <row r="111" ht="236.25" customHeight="1">
      <c r="A111" s="7"/>
      <c r="B111" s="8"/>
      <c r="C111" s="9"/>
    </row>
    <row r="112" ht="236.25" customHeight="1">
      <c r="A112" s="7"/>
      <c r="B112" s="8"/>
      <c r="C112" s="9"/>
    </row>
    <row r="113" ht="236.25" customHeight="1">
      <c r="A113" s="7"/>
      <c r="B113" s="8"/>
      <c r="C113" s="9"/>
    </row>
    <row r="114" ht="236.25" customHeight="1">
      <c r="A114" s="7"/>
      <c r="B114" s="8"/>
      <c r="C114" s="9"/>
    </row>
    <row r="115" ht="236.25" customHeight="1">
      <c r="A115" s="7"/>
      <c r="B115" s="8"/>
      <c r="C115" s="9"/>
    </row>
    <row r="116" ht="236.25" customHeight="1">
      <c r="A116" s="7"/>
      <c r="B116" s="8"/>
      <c r="C116" s="9"/>
    </row>
    <row r="117" ht="236.25" customHeight="1">
      <c r="A117" s="7"/>
      <c r="B117" s="8"/>
      <c r="C117" s="9"/>
    </row>
    <row r="118" ht="236.25" customHeight="1">
      <c r="A118" s="7"/>
      <c r="B118" s="8"/>
      <c r="C118" s="9"/>
    </row>
    <row r="119" ht="236.25" customHeight="1">
      <c r="A119" s="7"/>
      <c r="B119" s="8"/>
      <c r="C119" s="9"/>
    </row>
    <row r="120" ht="236.25" customHeight="1">
      <c r="A120" s="7"/>
      <c r="B120" s="8"/>
      <c r="C120" s="9"/>
    </row>
    <row r="121" ht="236.25" customHeight="1">
      <c r="A121" s="7"/>
      <c r="B121" s="8"/>
      <c r="C121" s="9"/>
    </row>
    <row r="122" ht="236.25" customHeight="1">
      <c r="A122" s="7"/>
      <c r="B122" s="8"/>
      <c r="C122" s="9"/>
    </row>
    <row r="123" ht="236.25" customHeight="1">
      <c r="A123" s="7"/>
      <c r="B123" s="8"/>
      <c r="C123" s="9"/>
    </row>
    <row r="124" ht="236.25" customHeight="1">
      <c r="A124" s="7"/>
      <c r="B124" s="8"/>
      <c r="C124" s="9"/>
    </row>
    <row r="125" ht="236.25" customHeight="1">
      <c r="A125" s="7"/>
      <c r="B125" s="8"/>
      <c r="C125" s="9"/>
    </row>
    <row r="126" ht="236.25" customHeight="1">
      <c r="A126" s="7"/>
      <c r="B126" s="8"/>
      <c r="C126" s="9"/>
    </row>
    <row r="127" ht="236.25" customHeight="1">
      <c r="A127" s="7"/>
      <c r="B127" s="8"/>
      <c r="C127" s="9"/>
    </row>
    <row r="128" ht="236.25" customHeight="1">
      <c r="A128" s="7"/>
      <c r="B128" s="8"/>
      <c r="C128" s="9"/>
    </row>
    <row r="129" ht="236.25" customHeight="1">
      <c r="A129" s="7"/>
      <c r="B129" s="8"/>
      <c r="C129" s="9"/>
    </row>
    <row r="130" ht="236.25" customHeight="1">
      <c r="A130" s="7"/>
      <c r="B130" s="8"/>
      <c r="C130" s="9"/>
    </row>
    <row r="131" ht="236.25" customHeight="1">
      <c r="A131" s="7"/>
      <c r="B131" s="8"/>
      <c r="C131" s="9"/>
    </row>
    <row r="132" ht="236.25" customHeight="1">
      <c r="A132" s="7"/>
      <c r="B132" s="8"/>
      <c r="C132" s="9"/>
    </row>
    <row r="133" ht="236.25" customHeight="1">
      <c r="A133" s="7"/>
      <c r="B133" s="8"/>
      <c r="C133" s="9"/>
    </row>
    <row r="134" ht="236.25" customHeight="1">
      <c r="A134" s="7"/>
      <c r="B134" s="8"/>
      <c r="C134" s="9"/>
    </row>
    <row r="135" ht="236.25" customHeight="1">
      <c r="A135" s="7"/>
      <c r="B135" s="8"/>
      <c r="C135" s="9"/>
    </row>
    <row r="136" ht="236.25" customHeight="1">
      <c r="A136" s="7"/>
      <c r="B136" s="8"/>
      <c r="C136" s="9"/>
    </row>
    <row r="137" ht="236.25" customHeight="1">
      <c r="A137" s="7"/>
      <c r="B137" s="8"/>
      <c r="C137" s="9"/>
    </row>
    <row r="138" ht="236.25" customHeight="1">
      <c r="A138" s="7"/>
      <c r="B138" s="8"/>
      <c r="C138" s="9"/>
    </row>
    <row r="139" ht="236.25" customHeight="1">
      <c r="A139" s="7"/>
      <c r="B139" s="8"/>
      <c r="C139" s="9"/>
    </row>
    <row r="140" ht="236.25" customHeight="1">
      <c r="A140" s="7"/>
      <c r="B140" s="8"/>
      <c r="C140" s="9"/>
    </row>
    <row r="141" ht="236.25" customHeight="1">
      <c r="A141" s="7"/>
      <c r="B141" s="8"/>
      <c r="C141" s="9"/>
    </row>
    <row r="142" ht="236.25" customHeight="1">
      <c r="A142" s="7"/>
      <c r="B142" s="8"/>
      <c r="C142" s="9"/>
    </row>
    <row r="143" ht="236.25" customHeight="1">
      <c r="A143" s="7"/>
      <c r="B143" s="8"/>
      <c r="C143" s="9"/>
    </row>
    <row r="144" ht="236.25" customHeight="1">
      <c r="A144" s="7"/>
      <c r="B144" s="8"/>
      <c r="C144" s="9"/>
    </row>
    <row r="145" ht="236.25" customHeight="1">
      <c r="A145" s="7"/>
      <c r="B145" s="8"/>
      <c r="C145" s="9"/>
    </row>
    <row r="146" ht="236.25" customHeight="1">
      <c r="A146" s="7"/>
      <c r="B146" s="8"/>
      <c r="C146" s="9"/>
    </row>
    <row r="147" ht="236.25" customHeight="1">
      <c r="A147" s="7"/>
      <c r="B147" s="8"/>
      <c r="C147" s="9"/>
    </row>
    <row r="148" ht="236.25" customHeight="1">
      <c r="A148" s="7"/>
      <c r="B148" s="8"/>
      <c r="C148" s="9"/>
    </row>
    <row r="149" ht="236.25" customHeight="1">
      <c r="A149" s="7"/>
      <c r="B149" s="8"/>
      <c r="C149" s="9"/>
    </row>
    <row r="150" ht="236.25" customHeight="1">
      <c r="A150" s="7"/>
      <c r="B150" s="8"/>
      <c r="C150" s="9"/>
    </row>
    <row r="151" ht="236.25" customHeight="1">
      <c r="A151" s="7"/>
      <c r="B151" s="8"/>
      <c r="C151" s="9"/>
    </row>
    <row r="152" ht="236.25" customHeight="1">
      <c r="A152" s="7"/>
      <c r="B152" s="8"/>
      <c r="C152" s="9"/>
    </row>
    <row r="153" ht="236.25" customHeight="1">
      <c r="A153" s="7"/>
      <c r="B153" s="8"/>
      <c r="C153" s="9"/>
    </row>
    <row r="154" ht="236.25" customHeight="1">
      <c r="A154" s="7"/>
      <c r="B154" s="8"/>
      <c r="C154" s="9"/>
    </row>
    <row r="155" ht="236.25" customHeight="1">
      <c r="A155" s="7"/>
      <c r="B155" s="8"/>
      <c r="C155" s="9"/>
    </row>
    <row r="156" ht="236.25" customHeight="1">
      <c r="A156" s="7"/>
      <c r="B156" s="8"/>
      <c r="C156" s="9"/>
    </row>
    <row r="157" ht="236.25" customHeight="1">
      <c r="A157" s="7"/>
      <c r="B157" s="8"/>
      <c r="C157" s="9"/>
    </row>
    <row r="158" ht="236.25" customHeight="1">
      <c r="A158" s="7"/>
      <c r="B158" s="8"/>
      <c r="C158" s="9"/>
    </row>
    <row r="159" ht="236.25" customHeight="1">
      <c r="A159" s="7"/>
      <c r="B159" s="8"/>
      <c r="C159" s="9"/>
    </row>
    <row r="160" ht="236.25" customHeight="1">
      <c r="A160" s="7"/>
      <c r="B160" s="8"/>
      <c r="C160" s="9"/>
    </row>
    <row r="161" ht="236.25" customHeight="1">
      <c r="A161" s="7"/>
      <c r="B161" s="8"/>
      <c r="C161" s="9"/>
    </row>
    <row r="162" ht="236.25" customHeight="1">
      <c r="A162" s="7"/>
      <c r="B162" s="8"/>
      <c r="C162" s="9"/>
    </row>
    <row r="163" ht="236.25" customHeight="1">
      <c r="A163" s="7"/>
      <c r="B163" s="8"/>
      <c r="C163" s="9"/>
    </row>
    <row r="164" ht="236.25" customHeight="1">
      <c r="A164" s="7"/>
      <c r="B164" s="8"/>
      <c r="C164" s="9"/>
    </row>
    <row r="165" ht="236.25" customHeight="1">
      <c r="A165" s="7"/>
      <c r="B165" s="8"/>
      <c r="C165" s="9"/>
    </row>
    <row r="166" ht="236.25" customHeight="1">
      <c r="A166" s="7"/>
      <c r="B166" s="8"/>
      <c r="C166" s="9"/>
    </row>
    <row r="167" ht="236.25" customHeight="1">
      <c r="A167" s="7"/>
      <c r="B167" s="8"/>
      <c r="C167" s="9"/>
    </row>
    <row r="168" ht="236.25" customHeight="1">
      <c r="A168" s="7"/>
      <c r="B168" s="8"/>
      <c r="C168" s="9"/>
    </row>
    <row r="169" ht="236.25" customHeight="1">
      <c r="A169" s="7"/>
      <c r="B169" s="8"/>
      <c r="C169" s="9"/>
    </row>
    <row r="170" ht="236.25" customHeight="1">
      <c r="A170" s="7"/>
      <c r="B170" s="8"/>
      <c r="C170" s="9"/>
    </row>
    <row r="171" ht="236.25" customHeight="1">
      <c r="A171" s="7"/>
      <c r="B171" s="8"/>
      <c r="C171" s="9"/>
    </row>
    <row r="172" ht="236.25" customHeight="1">
      <c r="A172" s="7"/>
      <c r="B172" s="8"/>
      <c r="C172" s="9"/>
    </row>
    <row r="173" ht="236.25" customHeight="1">
      <c r="A173" s="7"/>
      <c r="B173" s="8"/>
      <c r="C173" s="9"/>
    </row>
    <row r="174" ht="236.25" customHeight="1">
      <c r="A174" s="7"/>
      <c r="B174" s="8"/>
      <c r="C174" s="9"/>
    </row>
    <row r="175" ht="236.25" customHeight="1">
      <c r="A175" s="7"/>
      <c r="B175" s="8"/>
      <c r="C175" s="9"/>
    </row>
    <row r="176" ht="236.25" customHeight="1">
      <c r="A176" s="7"/>
      <c r="B176" s="8"/>
      <c r="C176" s="9"/>
    </row>
    <row r="177" ht="236.25" customHeight="1">
      <c r="A177" s="7"/>
      <c r="B177" s="8"/>
      <c r="C177" s="9"/>
    </row>
    <row r="178" ht="236.25" customHeight="1">
      <c r="A178" s="7"/>
      <c r="B178" s="8"/>
      <c r="C178" s="9"/>
    </row>
    <row r="179" ht="236.25" customHeight="1">
      <c r="A179" s="7"/>
      <c r="B179" s="8"/>
      <c r="C179" s="9"/>
    </row>
    <row r="180" ht="236.25" customHeight="1">
      <c r="A180" s="7"/>
      <c r="B180" s="8"/>
      <c r="C180" s="9"/>
    </row>
    <row r="181" ht="236.25" customHeight="1">
      <c r="A181" s="7"/>
      <c r="B181" s="8"/>
      <c r="C181" s="9"/>
    </row>
    <row r="182" ht="236.25" customHeight="1">
      <c r="A182" s="7"/>
      <c r="B182" s="8"/>
      <c r="C182" s="9"/>
    </row>
    <row r="183" ht="236.25" customHeight="1">
      <c r="A183" s="7"/>
      <c r="B183" s="8"/>
      <c r="C183" s="9"/>
    </row>
    <row r="184" ht="236.25" customHeight="1">
      <c r="A184" s="7"/>
      <c r="B184" s="8"/>
      <c r="C184" s="9"/>
    </row>
    <row r="185" ht="236.25" customHeight="1">
      <c r="A185" s="7"/>
      <c r="B185" s="8"/>
      <c r="C185" s="9"/>
    </row>
    <row r="186" ht="236.25" customHeight="1">
      <c r="A186" s="7"/>
      <c r="B186" s="8"/>
      <c r="C186" s="9"/>
    </row>
    <row r="187" ht="236.25" customHeight="1">
      <c r="A187" s="7"/>
      <c r="B187" s="8"/>
      <c r="C187" s="9"/>
    </row>
    <row r="188" ht="236.25" customHeight="1">
      <c r="A188" s="7"/>
      <c r="B188" s="8"/>
      <c r="C188" s="9"/>
    </row>
    <row r="189" ht="236.25" customHeight="1">
      <c r="A189" s="7"/>
      <c r="B189" s="8"/>
      <c r="C189" s="9"/>
    </row>
    <row r="190" ht="236.25" customHeight="1">
      <c r="A190" s="7"/>
      <c r="B190" s="8"/>
      <c r="C190" s="9"/>
    </row>
    <row r="191" ht="236.25" customHeight="1">
      <c r="A191" s="7"/>
      <c r="B191" s="8"/>
      <c r="C191" s="9"/>
    </row>
    <row r="192" ht="236.25" customHeight="1">
      <c r="A192" s="7"/>
      <c r="B192" s="8"/>
      <c r="C192" s="9"/>
    </row>
    <row r="193" ht="236.25" customHeight="1">
      <c r="A193" s="7"/>
      <c r="B193" s="8"/>
      <c r="C193" s="9"/>
    </row>
    <row r="194" ht="236.25" customHeight="1">
      <c r="A194" s="7"/>
      <c r="B194" s="8"/>
      <c r="C194" s="9"/>
    </row>
    <row r="195" ht="236.25" customHeight="1">
      <c r="A195" s="7"/>
      <c r="B195" s="8"/>
      <c r="C195" s="9"/>
    </row>
    <row r="196" ht="236.25" customHeight="1">
      <c r="A196" s="7"/>
      <c r="B196" s="8"/>
      <c r="C196" s="9"/>
    </row>
    <row r="197" ht="236.25" customHeight="1">
      <c r="A197" s="7"/>
      <c r="B197" s="8"/>
      <c r="C197" s="9"/>
    </row>
    <row r="198" ht="236.25" customHeight="1">
      <c r="A198" s="7"/>
      <c r="B198" s="8"/>
      <c r="C198" s="9"/>
    </row>
    <row r="199" ht="236.25" customHeight="1">
      <c r="A199" s="7"/>
      <c r="B199" s="8"/>
      <c r="C199" s="9"/>
    </row>
    <row r="200" ht="236.25" customHeight="1">
      <c r="A200" s="7"/>
      <c r="B200" s="8"/>
      <c r="C200" s="9"/>
    </row>
    <row r="201" ht="236.25" customHeight="1">
      <c r="A201" s="7"/>
      <c r="B201" s="8"/>
      <c r="C201" s="9"/>
    </row>
    <row r="202" ht="236.25" customHeight="1">
      <c r="A202" s="7"/>
      <c r="B202" s="8"/>
      <c r="C202" s="9"/>
    </row>
    <row r="203" ht="236.25" customHeight="1">
      <c r="A203" s="7"/>
      <c r="B203" s="8"/>
      <c r="C203" s="9"/>
    </row>
    <row r="204" ht="236.25" customHeight="1">
      <c r="A204" s="7"/>
      <c r="B204" s="8"/>
      <c r="C204" s="9"/>
    </row>
    <row r="205" ht="236.25" customHeight="1">
      <c r="A205" s="7"/>
      <c r="B205" s="8"/>
      <c r="C205" s="9"/>
    </row>
    <row r="206" ht="236.25" customHeight="1">
      <c r="A206" s="7"/>
      <c r="B206" s="8"/>
      <c r="C206" s="9"/>
    </row>
    <row r="207" ht="236.25" customHeight="1">
      <c r="A207" s="7"/>
      <c r="B207" s="8"/>
      <c r="C207" s="9"/>
    </row>
    <row r="208" ht="236.25" customHeight="1">
      <c r="A208" s="7"/>
      <c r="B208" s="8"/>
      <c r="C208" s="9"/>
    </row>
    <row r="209" ht="236.25" customHeight="1">
      <c r="A209" s="7"/>
      <c r="B209" s="8"/>
      <c r="C209" s="9"/>
    </row>
    <row r="210" ht="236.25" customHeight="1">
      <c r="A210" s="7"/>
      <c r="B210" s="8"/>
      <c r="C210" s="9"/>
    </row>
    <row r="211" ht="236.25" customHeight="1">
      <c r="A211" s="7"/>
      <c r="B211" s="8"/>
      <c r="C211" s="9"/>
    </row>
    <row r="212" ht="236.25" customHeight="1">
      <c r="A212" s="7"/>
      <c r="B212" s="8"/>
      <c r="C212" s="9"/>
    </row>
    <row r="213" ht="236.25" customHeight="1">
      <c r="A213" s="7"/>
      <c r="B213" s="8"/>
      <c r="C213" s="9"/>
    </row>
    <row r="214" ht="236.25" customHeight="1">
      <c r="A214" s="7"/>
      <c r="B214" s="8"/>
      <c r="C214" s="9"/>
    </row>
    <row r="215" ht="236.25" customHeight="1">
      <c r="A215" s="7"/>
      <c r="B215" s="8"/>
      <c r="C215" s="9"/>
    </row>
    <row r="216" ht="236.25" customHeight="1">
      <c r="A216" s="7"/>
      <c r="B216" s="8"/>
      <c r="C216" s="9"/>
    </row>
    <row r="217" ht="236.25" customHeight="1">
      <c r="A217" s="7"/>
      <c r="B217" s="8"/>
      <c r="C217" s="9"/>
    </row>
    <row r="218" ht="236.25" customHeight="1">
      <c r="A218" s="7"/>
      <c r="B218" s="8"/>
      <c r="C218" s="9"/>
    </row>
    <row r="219" ht="236.25" customHeight="1">
      <c r="A219" s="7"/>
      <c r="B219" s="8"/>
      <c r="C219" s="9"/>
    </row>
    <row r="220" ht="236.25" customHeight="1">
      <c r="A220" s="7"/>
      <c r="B220" s="8"/>
      <c r="C220" s="9"/>
    </row>
    <row r="221" ht="236.25" customHeight="1">
      <c r="A221" s="7"/>
      <c r="B221" s="8"/>
      <c r="C221" s="9"/>
    </row>
    <row r="222" ht="236.25" customHeight="1">
      <c r="A222" s="7"/>
      <c r="B222" s="8"/>
      <c r="C222" s="9"/>
    </row>
    <row r="223" ht="236.25" customHeight="1">
      <c r="A223" s="7"/>
      <c r="B223" s="8"/>
      <c r="C223" s="9"/>
    </row>
    <row r="224" ht="236.25" customHeight="1">
      <c r="A224" s="7"/>
      <c r="B224" s="8"/>
      <c r="C224" s="9"/>
    </row>
    <row r="225" ht="236.25" customHeight="1">
      <c r="A225" s="7"/>
      <c r="B225" s="8"/>
      <c r="C225" s="9"/>
    </row>
    <row r="226" ht="236.25" customHeight="1">
      <c r="A226" s="7"/>
      <c r="B226" s="8"/>
      <c r="C226" s="9"/>
    </row>
    <row r="227" ht="236.25" customHeight="1">
      <c r="A227" s="7"/>
      <c r="B227" s="8"/>
      <c r="C227" s="9"/>
    </row>
    <row r="228" ht="236.25" customHeight="1">
      <c r="A228" s="7"/>
      <c r="B228" s="8"/>
      <c r="C228" s="9"/>
    </row>
    <row r="229" ht="236.25" customHeight="1">
      <c r="A229" s="7"/>
      <c r="B229" s="8"/>
      <c r="C229" s="9"/>
    </row>
    <row r="230" ht="236.25" customHeight="1">
      <c r="A230" s="7"/>
      <c r="B230" s="8"/>
      <c r="C230" s="9"/>
    </row>
    <row r="231" ht="236.25" customHeight="1">
      <c r="A231" s="7"/>
      <c r="B231" s="8"/>
      <c r="C231" s="9"/>
    </row>
    <row r="232" ht="236.25" customHeight="1">
      <c r="A232" s="7"/>
      <c r="B232" s="8"/>
      <c r="C232" s="9"/>
    </row>
    <row r="233" ht="236.25" customHeight="1">
      <c r="A233" s="7"/>
      <c r="B233" s="8"/>
      <c r="C233" s="9"/>
    </row>
    <row r="234" ht="236.25" customHeight="1">
      <c r="A234" s="7"/>
      <c r="B234" s="8"/>
      <c r="C234" s="9"/>
    </row>
    <row r="235" ht="236.25" customHeight="1">
      <c r="A235" s="7"/>
      <c r="B235" s="8"/>
      <c r="C235" s="9"/>
    </row>
    <row r="236" ht="236.25" customHeight="1">
      <c r="A236" s="7"/>
      <c r="B236" s="8"/>
      <c r="C236" s="9"/>
    </row>
    <row r="237" ht="236.25" customHeight="1">
      <c r="A237" s="7"/>
      <c r="B237" s="8"/>
      <c r="C237" s="9"/>
    </row>
    <row r="238" ht="236.25" customHeight="1">
      <c r="A238" s="7"/>
      <c r="B238" s="8"/>
      <c r="C238" s="9"/>
    </row>
    <row r="239" ht="236.25" customHeight="1">
      <c r="A239" s="7"/>
      <c r="B239" s="8"/>
      <c r="C239" s="9"/>
    </row>
    <row r="240" ht="236.25" customHeight="1">
      <c r="A240" s="7"/>
      <c r="B240" s="8"/>
      <c r="C240" s="9"/>
    </row>
    <row r="241" ht="236.25" customHeight="1">
      <c r="A241" s="7"/>
      <c r="B241" s="8"/>
      <c r="C241" s="9"/>
    </row>
    <row r="242" ht="236.25" customHeight="1">
      <c r="A242" s="7"/>
      <c r="B242" s="8"/>
      <c r="C242" s="9"/>
    </row>
    <row r="243" ht="236.25" customHeight="1">
      <c r="A243" s="7"/>
      <c r="B243" s="8"/>
      <c r="C243" s="9"/>
    </row>
    <row r="244" ht="236.25" customHeight="1">
      <c r="A244" s="7"/>
      <c r="B244" s="8"/>
      <c r="C244" s="9"/>
    </row>
    <row r="245" ht="236.25" customHeight="1">
      <c r="A245" s="7"/>
      <c r="B245" s="8"/>
      <c r="C245" s="9"/>
    </row>
    <row r="246" ht="236.25" customHeight="1">
      <c r="A246" s="7"/>
      <c r="B246" s="8"/>
      <c r="C246" s="9"/>
    </row>
    <row r="247" ht="236.25" customHeight="1">
      <c r="A247" s="7"/>
      <c r="B247" s="8"/>
      <c r="C247" s="9"/>
    </row>
    <row r="248" ht="236.25" customHeight="1">
      <c r="A248" s="7"/>
      <c r="B248" s="8"/>
      <c r="C248" s="9"/>
    </row>
    <row r="249" ht="236.25" customHeight="1">
      <c r="A249" s="7"/>
      <c r="B249" s="8"/>
      <c r="C249" s="9"/>
    </row>
    <row r="250" ht="236.25" customHeight="1">
      <c r="A250" s="7"/>
      <c r="B250" s="8"/>
      <c r="C250" s="9"/>
    </row>
    <row r="251" ht="236.25" customHeight="1">
      <c r="A251" s="7"/>
      <c r="B251" s="8"/>
      <c r="C251" s="9"/>
    </row>
    <row r="252" ht="236.25" customHeight="1">
      <c r="A252" s="7"/>
      <c r="B252" s="8"/>
      <c r="C252" s="9"/>
    </row>
    <row r="253" ht="236.25" customHeight="1">
      <c r="A253" s="7"/>
      <c r="B253" s="8"/>
      <c r="C253" s="9"/>
    </row>
    <row r="254" ht="236.25" customHeight="1">
      <c r="A254" s="7"/>
      <c r="B254" s="8"/>
      <c r="C254" s="9"/>
    </row>
    <row r="255" ht="236.25" customHeight="1">
      <c r="A255" s="7"/>
      <c r="B255" s="8"/>
      <c r="C255" s="9"/>
    </row>
    <row r="256" ht="236.25" customHeight="1">
      <c r="A256" s="7"/>
      <c r="B256" s="8"/>
      <c r="C256" s="9"/>
    </row>
    <row r="257" ht="236.25" customHeight="1">
      <c r="A257" s="7"/>
      <c r="B257" s="8"/>
      <c r="C257" s="9"/>
    </row>
    <row r="258" ht="236.25" customHeight="1">
      <c r="A258" s="7"/>
      <c r="B258" s="8"/>
      <c r="C258" s="9"/>
    </row>
    <row r="259" ht="236.25" customHeight="1">
      <c r="A259" s="7"/>
      <c r="B259" s="8"/>
      <c r="C259" s="9"/>
    </row>
    <row r="260" ht="236.25" customHeight="1">
      <c r="A260" s="7"/>
      <c r="B260" s="8"/>
      <c r="C260" s="9"/>
    </row>
    <row r="261" ht="236.25" customHeight="1">
      <c r="A261" s="7"/>
      <c r="B261" s="8"/>
      <c r="C261" s="9"/>
    </row>
    <row r="262" ht="236.25" customHeight="1">
      <c r="A262" s="7"/>
      <c r="B262" s="8"/>
      <c r="C262" s="9"/>
    </row>
    <row r="263" ht="236.25" customHeight="1">
      <c r="A263" s="7"/>
      <c r="B263" s="8"/>
      <c r="C263" s="9"/>
    </row>
    <row r="264" ht="236.25" customHeight="1">
      <c r="A264" s="7"/>
      <c r="B264" s="8"/>
      <c r="C264" s="9"/>
    </row>
    <row r="265" ht="236.25" customHeight="1">
      <c r="A265" s="7"/>
      <c r="B265" s="8"/>
      <c r="C265" s="9"/>
    </row>
    <row r="266" ht="236.25" customHeight="1">
      <c r="A266" s="7"/>
      <c r="B266" s="8"/>
      <c r="C266" s="9"/>
    </row>
    <row r="267" ht="236.25" customHeight="1">
      <c r="A267" s="7"/>
      <c r="B267" s="8"/>
      <c r="C267" s="9"/>
    </row>
    <row r="268" ht="236.25" customHeight="1">
      <c r="A268" s="7"/>
      <c r="B268" s="8"/>
      <c r="C268" s="9"/>
    </row>
    <row r="269" ht="236.25" customHeight="1">
      <c r="A269" s="7"/>
      <c r="B269" s="8"/>
      <c r="C269" s="9"/>
    </row>
    <row r="270" ht="236.25" customHeight="1">
      <c r="A270" s="7"/>
      <c r="B270" s="8"/>
      <c r="C270" s="9"/>
    </row>
    <row r="271" ht="236.25" customHeight="1">
      <c r="A271" s="7"/>
      <c r="B271" s="8"/>
      <c r="C271" s="9"/>
    </row>
    <row r="272" ht="236.25" customHeight="1">
      <c r="A272" s="7"/>
      <c r="B272" s="8"/>
      <c r="C272" s="9"/>
    </row>
    <row r="273" ht="236.25" customHeight="1">
      <c r="A273" s="7"/>
      <c r="B273" s="8"/>
      <c r="C273" s="9"/>
    </row>
    <row r="274" ht="236.25" customHeight="1">
      <c r="A274" s="7"/>
      <c r="B274" s="8"/>
      <c r="C274" s="9"/>
    </row>
    <row r="275" ht="236.25" customHeight="1">
      <c r="A275" s="7"/>
      <c r="B275" s="8"/>
      <c r="C275" s="9"/>
    </row>
    <row r="276" ht="236.25" customHeight="1">
      <c r="A276" s="7"/>
      <c r="B276" s="8"/>
      <c r="C276" s="9"/>
    </row>
    <row r="277" ht="236.25" customHeight="1">
      <c r="A277" s="7"/>
      <c r="B277" s="8"/>
      <c r="C277" s="9"/>
    </row>
    <row r="278" ht="236.25" customHeight="1">
      <c r="A278" s="7"/>
      <c r="B278" s="8"/>
      <c r="C278" s="9"/>
    </row>
    <row r="279" ht="236.25" customHeight="1">
      <c r="A279" s="7"/>
      <c r="B279" s="8"/>
      <c r="C279" s="9"/>
    </row>
    <row r="280" ht="236.25" customHeight="1">
      <c r="A280" s="7"/>
      <c r="B280" s="8"/>
      <c r="C280" s="9"/>
    </row>
    <row r="281" ht="236.25" customHeight="1">
      <c r="A281" s="7"/>
      <c r="B281" s="8"/>
      <c r="C281" s="9"/>
    </row>
    <row r="282" ht="236.25" customHeight="1">
      <c r="A282" s="7"/>
      <c r="B282" s="8"/>
      <c r="C282" s="9"/>
    </row>
    <row r="283" ht="236.25" customHeight="1">
      <c r="A283" s="7"/>
      <c r="B283" s="8"/>
      <c r="C283" s="9"/>
    </row>
    <row r="284" ht="236.25" customHeight="1">
      <c r="A284" s="7"/>
      <c r="B284" s="8"/>
      <c r="C284" s="9"/>
    </row>
    <row r="285" ht="236.25" customHeight="1">
      <c r="A285" s="7"/>
      <c r="B285" s="8"/>
      <c r="C285" s="9"/>
    </row>
    <row r="286" ht="236.25" customHeight="1">
      <c r="A286" s="7"/>
      <c r="B286" s="8"/>
      <c r="C286" s="9"/>
    </row>
    <row r="287" ht="236.25" customHeight="1">
      <c r="A287" s="7"/>
      <c r="B287" s="8"/>
      <c r="C287" s="9"/>
    </row>
    <row r="288" ht="236.25" customHeight="1">
      <c r="A288" s="7"/>
      <c r="B288" s="8"/>
      <c r="C288" s="9"/>
    </row>
    <row r="289" ht="236.25" customHeight="1">
      <c r="A289" s="7"/>
      <c r="B289" s="8"/>
      <c r="C289" s="9"/>
    </row>
    <row r="290" ht="236.25" customHeight="1">
      <c r="A290" s="7"/>
      <c r="B290" s="8"/>
      <c r="C290" s="9"/>
    </row>
    <row r="291" ht="236.25" customHeight="1">
      <c r="A291" s="7"/>
      <c r="B291" s="8"/>
      <c r="C291" s="9"/>
    </row>
    <row r="292" ht="236.25" customHeight="1">
      <c r="A292" s="7"/>
      <c r="B292" s="8"/>
      <c r="C292" s="9"/>
    </row>
    <row r="293" ht="236.25" customHeight="1">
      <c r="A293" s="7"/>
      <c r="B293" s="8"/>
      <c r="C293" s="9"/>
    </row>
    <row r="294" ht="236.25" customHeight="1">
      <c r="A294" s="7"/>
      <c r="B294" s="8"/>
      <c r="C294" s="9"/>
    </row>
    <row r="295" ht="236.25" customHeight="1">
      <c r="A295" s="7"/>
      <c r="B295" s="8"/>
      <c r="C295" s="9"/>
    </row>
    <row r="296" ht="236.25" customHeight="1">
      <c r="A296" s="7"/>
      <c r="B296" s="8"/>
      <c r="C296" s="9"/>
    </row>
    <row r="297" ht="236.25" customHeight="1">
      <c r="A297" s="7"/>
      <c r="B297" s="8"/>
      <c r="C297" s="9"/>
    </row>
    <row r="298" ht="236.25" customHeight="1">
      <c r="A298" s="7"/>
      <c r="B298" s="8"/>
      <c r="C298" s="9"/>
    </row>
    <row r="299" ht="236.25" customHeight="1">
      <c r="A299" s="7"/>
      <c r="B299" s="8"/>
      <c r="C299" s="9"/>
    </row>
    <row r="300" ht="236.25" customHeight="1">
      <c r="A300" s="7"/>
      <c r="B300" s="8"/>
      <c r="C300" s="9"/>
    </row>
    <row r="301" ht="236.25" customHeight="1">
      <c r="A301" s="12"/>
      <c r="B301" s="13"/>
      <c r="C301"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s>
  <sheetData>
    <row r="1">
      <c r="A1" s="1" t="s">
        <v>0</v>
      </c>
    </row>
    <row r="2">
      <c r="A2" s="1" t="s">
        <v>2</v>
      </c>
    </row>
    <row r="3">
      <c r="A3" s="3" t="s">
        <v>3</v>
      </c>
    </row>
    <row r="4">
      <c r="A4" s="3" t="s">
        <v>4</v>
      </c>
    </row>
    <row r="5">
      <c r="A5" s="1" t="s">
        <v>5</v>
      </c>
    </row>
    <row r="6">
      <c r="A6" s="1" t="s">
        <v>7</v>
      </c>
    </row>
    <row r="7">
      <c r="A7" s="3" t="s">
        <v>8</v>
      </c>
    </row>
    <row r="8">
      <c r="A8" s="3" t="s">
        <v>9</v>
      </c>
    </row>
    <row r="9">
      <c r="A9" s="3" t="s">
        <v>10</v>
      </c>
    </row>
    <row r="10">
      <c r="A10" s="1" t="s">
        <v>11</v>
      </c>
    </row>
    <row r="11">
      <c r="A11" s="3" t="s">
        <v>12</v>
      </c>
    </row>
    <row r="12">
      <c r="A12" s="1" t="s">
        <v>13</v>
      </c>
    </row>
    <row r="13">
      <c r="A13" s="1" t="s">
        <v>14</v>
      </c>
    </row>
    <row r="14">
      <c r="A14" s="3" t="s">
        <v>15</v>
      </c>
    </row>
    <row r="15">
      <c r="A15" s="1" t="s">
        <v>17</v>
      </c>
    </row>
    <row r="16">
      <c r="A16" s="6"/>
    </row>
    <row r="17">
      <c r="A17" s="3"/>
    </row>
    <row r="18">
      <c r="A18" s="3"/>
    </row>
    <row r="19">
      <c r="A19" s="1" t="s">
        <v>18</v>
      </c>
    </row>
    <row r="20">
      <c r="A20" s="3" t="s">
        <v>19</v>
      </c>
    </row>
    <row r="21">
      <c r="A21" s="1" t="s">
        <v>20</v>
      </c>
    </row>
    <row r="22">
      <c r="A22" s="1" t="s">
        <v>21</v>
      </c>
    </row>
    <row r="23">
      <c r="A23" s="1" t="s">
        <v>22</v>
      </c>
    </row>
    <row r="24">
      <c r="A24" s="1" t="s">
        <v>23</v>
      </c>
    </row>
    <row r="25">
      <c r="A25" s="3" t="s">
        <v>24</v>
      </c>
    </row>
    <row r="26">
      <c r="A26" s="3" t="s">
        <v>25</v>
      </c>
    </row>
    <row r="27">
      <c r="A27" s="3" t="s">
        <v>26</v>
      </c>
    </row>
    <row r="28">
      <c r="A28" s="1" t="s">
        <v>27</v>
      </c>
    </row>
    <row r="29">
      <c r="A29" s="1" t="s">
        <v>28</v>
      </c>
    </row>
    <row r="30">
      <c r="A30" s="1" t="s">
        <v>29</v>
      </c>
    </row>
    <row r="31">
      <c r="A31" s="3" t="s">
        <v>30</v>
      </c>
    </row>
    <row r="32">
      <c r="A32" s="1" t="s">
        <v>31</v>
      </c>
    </row>
    <row r="33">
      <c r="A33" s="3" t="s">
        <v>32</v>
      </c>
    </row>
    <row r="34">
      <c r="A34" s="3" t="s">
        <v>33</v>
      </c>
    </row>
    <row r="35">
      <c r="A35" s="1" t="s">
        <v>34</v>
      </c>
    </row>
    <row r="36">
      <c r="A36" s="3" t="s">
        <v>35</v>
      </c>
    </row>
    <row r="37">
      <c r="A37" s="3" t="s">
        <v>36</v>
      </c>
    </row>
    <row r="38">
      <c r="A38" s="3" t="s">
        <v>37</v>
      </c>
    </row>
    <row r="39">
      <c r="A39" s="1" t="s">
        <v>38</v>
      </c>
    </row>
    <row r="40">
      <c r="A40" s="3" t="s">
        <v>39</v>
      </c>
    </row>
    <row r="41">
      <c r="A41" s="1" t="s">
        <v>40</v>
      </c>
    </row>
    <row r="42">
      <c r="A42" s="3" t="s">
        <v>41</v>
      </c>
    </row>
    <row r="43">
      <c r="A43" s="3" t="s">
        <v>42</v>
      </c>
    </row>
    <row r="44">
      <c r="A44" s="1" t="s">
        <v>43</v>
      </c>
    </row>
    <row r="45">
      <c r="A45" s="1" t="s">
        <v>44</v>
      </c>
    </row>
    <row r="46">
      <c r="A46" s="1" t="s">
        <v>45</v>
      </c>
    </row>
    <row r="47">
      <c r="A47" s="1" t="s">
        <v>46</v>
      </c>
    </row>
    <row r="48">
      <c r="A48" s="1" t="s">
        <v>47</v>
      </c>
    </row>
    <row r="49">
      <c r="A49" s="3" t="s">
        <v>48</v>
      </c>
    </row>
    <row r="50">
      <c r="A50" s="1" t="s">
        <v>49</v>
      </c>
    </row>
    <row r="51">
      <c r="A51" s="3" t="s">
        <v>50</v>
      </c>
    </row>
    <row r="52">
      <c r="A52" s="1" t="s">
        <v>51</v>
      </c>
    </row>
    <row r="53">
      <c r="A53" s="1" t="s">
        <v>52</v>
      </c>
    </row>
    <row r="54">
      <c r="A54" s="1" t="s">
        <v>53</v>
      </c>
    </row>
    <row r="55">
      <c r="A55" s="1" t="s">
        <v>54</v>
      </c>
    </row>
    <row r="56">
      <c r="A56" s="6" t="s">
        <v>55</v>
      </c>
    </row>
    <row r="57">
      <c r="A57" s="10" t="s">
        <v>56</v>
      </c>
    </row>
    <row r="58">
      <c r="A58" s="1" t="s">
        <v>57</v>
      </c>
    </row>
    <row r="59">
      <c r="A59" s="3" t="s">
        <v>58</v>
      </c>
    </row>
    <row r="60">
      <c r="A60" s="1" t="s">
        <v>59</v>
      </c>
    </row>
    <row r="61">
      <c r="A61" s="1" t="s">
        <v>60</v>
      </c>
    </row>
    <row r="62">
      <c r="A62" s="1" t="s">
        <v>61</v>
      </c>
    </row>
    <row r="63">
      <c r="A63" s="11" t="s">
        <v>62</v>
      </c>
    </row>
    <row r="64">
      <c r="A64" s="3" t="s">
        <v>63</v>
      </c>
    </row>
    <row r="65">
      <c r="A65" s="1" t="s">
        <v>64</v>
      </c>
    </row>
    <row r="66">
      <c r="A66" s="3" t="s">
        <v>65</v>
      </c>
    </row>
    <row r="67">
      <c r="A67" s="1" t="s">
        <v>66</v>
      </c>
    </row>
    <row r="68">
      <c r="A68" s="1" t="s">
        <v>67</v>
      </c>
    </row>
    <row r="69">
      <c r="A69" s="3" t="s">
        <v>68</v>
      </c>
    </row>
    <row r="70">
      <c r="A70" s="1" t="s">
        <v>69</v>
      </c>
    </row>
    <row r="71">
      <c r="A71" s="1" t="s">
        <v>70</v>
      </c>
    </row>
    <row r="72">
      <c r="A72" s="3" t="s">
        <v>71</v>
      </c>
    </row>
    <row r="73">
      <c r="A73" s="3" t="s">
        <v>72</v>
      </c>
    </row>
    <row r="74">
      <c r="A74" s="3" t="s">
        <v>73</v>
      </c>
    </row>
    <row r="75">
      <c r="A75" s="1" t="s">
        <v>74</v>
      </c>
    </row>
    <row r="76">
      <c r="A76" s="3" t="s">
        <v>75</v>
      </c>
    </row>
    <row r="77">
      <c r="A77" s="3" t="s">
        <v>76</v>
      </c>
    </row>
    <row r="78">
      <c r="A78" s="3" t="s">
        <v>77</v>
      </c>
    </row>
    <row r="79">
      <c r="A79" s="3" t="s">
        <v>78</v>
      </c>
    </row>
    <row r="80">
      <c r="A80" s="3" t="s">
        <v>79</v>
      </c>
    </row>
    <row r="81">
      <c r="A81" s="3" t="s">
        <v>80</v>
      </c>
    </row>
    <row r="82">
      <c r="A82" s="3" t="s">
        <v>81</v>
      </c>
    </row>
    <row r="83">
      <c r="A83" s="3" t="s">
        <v>82</v>
      </c>
    </row>
    <row r="84">
      <c r="A84" s="3" t="s">
        <v>83</v>
      </c>
    </row>
    <row r="85">
      <c r="A85" s="1" t="s">
        <v>84</v>
      </c>
    </row>
    <row r="86">
      <c r="A86" s="1" t="s">
        <v>85</v>
      </c>
    </row>
    <row r="87">
      <c r="A87" s="1" t="s">
        <v>86</v>
      </c>
    </row>
    <row r="88">
      <c r="A88" s="1" t="s">
        <v>87</v>
      </c>
    </row>
    <row r="89">
      <c r="A89" s="1" t="s">
        <v>88</v>
      </c>
    </row>
    <row r="90">
      <c r="A90" s="1" t="s">
        <v>89</v>
      </c>
    </row>
    <row r="91">
      <c r="A91" s="1"/>
    </row>
    <row r="92">
      <c r="A92" s="1"/>
    </row>
    <row r="93">
      <c r="A93" s="1"/>
    </row>
    <row r="94">
      <c r="A94" s="1"/>
    </row>
    <row r="95">
      <c r="A95" s="1"/>
    </row>
    <row r="96">
      <c r="A96" s="1"/>
    </row>
    <row r="97">
      <c r="A97" s="1"/>
    </row>
    <row r="98">
      <c r="A98" s="1"/>
    </row>
    <row r="99">
      <c r="A99" s="1"/>
    </row>
    <row r="100">
      <c r="A100" s="1"/>
    </row>
    <row r="101">
      <c r="A101" s="1"/>
    </row>
    <row r="102">
      <c r="A102" s="1"/>
    </row>
  </sheetData>
  <drawing r:id="rId1"/>
</worksheet>
</file>